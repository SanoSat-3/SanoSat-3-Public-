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ance Calculation" sheetId="1" r:id="rId4"/>
    <sheet state="visible" name="Uplink" sheetId="2" r:id="rId5"/>
    <sheet state="visible" name="Uplink using SNR Method" sheetId="3" r:id="rId6"/>
    <sheet state="visible" name="Downlink Using SNR Method" sheetId="4" r:id="rId7"/>
  </sheets>
  <definedNames/>
  <calcPr/>
  <extLst>
    <ext uri="GoogleSheetsCustomDataVersion1">
      <go:sheetsCustomData xmlns:go="http://customooxmlschemas.google.com/" r:id="rId8" roundtripDataSignature="AMtx7mihUH283XFW6OFuZ3Zg6GiOBlWGtA=="/>
    </ext>
  </extLst>
</workbook>
</file>

<file path=xl/sharedStrings.xml><?xml version="1.0" encoding="utf-8"?>
<sst xmlns="http://schemas.openxmlformats.org/spreadsheetml/2006/main" count="204" uniqueCount="95">
  <si>
    <t>Nepal-PQ1 Satellite distance calculation</t>
  </si>
  <si>
    <t>Compiled By: Saurav Paudel, ORION Space (NPQ-COM-SAU-108)</t>
  </si>
  <si>
    <t>Radius of Earth</t>
  </si>
  <si>
    <t>R</t>
  </si>
  <si>
    <t>km</t>
  </si>
  <si>
    <t>Height of Orbit</t>
  </si>
  <si>
    <t>h</t>
  </si>
  <si>
    <t>x</t>
  </si>
  <si>
    <t>θ</t>
  </si>
  <si>
    <t>Distance</t>
  </si>
  <si>
    <t>Nepal-PQ1 Uplink Link Budget Analysis (NPQ-COM-SAU-108)</t>
  </si>
  <si>
    <t>Modulation Type: GFSK at 500 bps and Fdev=1kHz</t>
  </si>
  <si>
    <t>Compiled By: Saurav Paudel, ORION Space</t>
  </si>
  <si>
    <t>Elevation Angle</t>
  </si>
  <si>
    <t>Distance(km)</t>
  </si>
  <si>
    <t>FSPL (dB)</t>
  </si>
  <si>
    <t>Transmit EIRP dBW</t>
  </si>
  <si>
    <t>Transmit Power at Gt=2.2dBi</t>
  </si>
  <si>
    <t>Transmit Power(W)</t>
  </si>
  <si>
    <t>Frequency:</t>
  </si>
  <si>
    <t>MHz</t>
  </si>
  <si>
    <t>Distance:</t>
  </si>
  <si>
    <t>at 35 Degrees</t>
  </si>
  <si>
    <t>Transmit Power:</t>
  </si>
  <si>
    <t>W</t>
  </si>
  <si>
    <t>dBW</t>
  </si>
  <si>
    <t>GS</t>
  </si>
  <si>
    <t>Transmit Antenna Gain:</t>
  </si>
  <si>
    <t>dBi</t>
  </si>
  <si>
    <t>EIRP:</t>
  </si>
  <si>
    <t>Power+Antenna Gain</t>
  </si>
  <si>
    <t>Tranmission Loss at GS</t>
  </si>
  <si>
    <t>dB</t>
  </si>
  <si>
    <t>Uplink Path</t>
  </si>
  <si>
    <t>Free Space Path Loss:</t>
  </si>
  <si>
    <t>32.4+20log(d)+20log(f)</t>
  </si>
  <si>
    <t>`</t>
  </si>
  <si>
    <t>Antenna Pointing Loss:</t>
  </si>
  <si>
    <t>Antenna Polorization Loss:</t>
  </si>
  <si>
    <t>Atmospheric Loss:</t>
  </si>
  <si>
    <t>Ionospheric Loss:</t>
  </si>
  <si>
    <t>Rain Loss:</t>
  </si>
  <si>
    <t>Spacecraft</t>
  </si>
  <si>
    <t>Isotropic Signal Level at Spacecraft</t>
  </si>
  <si>
    <t>EIRP-Losses</t>
  </si>
  <si>
    <t>Spacecraft Antenna Pointing Loss</t>
  </si>
  <si>
    <t>Spacecraft Antenna Gain</t>
  </si>
  <si>
    <t>Spacecraft Line Loss</t>
  </si>
  <si>
    <t>Receiver Sensitivity</t>
  </si>
  <si>
    <t>dBm</t>
  </si>
  <si>
    <t>Received Power</t>
  </si>
  <si>
    <t>Link Margin</t>
  </si>
  <si>
    <t>Nepal-PQ1 Uplink Link Budget Analysis using SNR Method</t>
  </si>
  <si>
    <t>At around 25 degrees of elevation</t>
  </si>
  <si>
    <t>Pt</t>
  </si>
  <si>
    <t>Gt</t>
  </si>
  <si>
    <t>EIRP=Pt+Gt</t>
  </si>
  <si>
    <t>Spacecraft Noise Temperature</t>
  </si>
  <si>
    <t>K</t>
  </si>
  <si>
    <t>T</t>
  </si>
  <si>
    <t>Figure of Merit</t>
  </si>
  <si>
    <t>dB/K</t>
  </si>
  <si>
    <t>10*log10(G/T)</t>
  </si>
  <si>
    <t>Signal Power at Input of LNA</t>
  </si>
  <si>
    <t>Received Singal-Loss+Gain</t>
  </si>
  <si>
    <t>Spacecraft Receiver Bandwidth</t>
  </si>
  <si>
    <t>Hz</t>
  </si>
  <si>
    <t>Boltzman's Constant</t>
  </si>
  <si>
    <t>dbW/K/Hz</t>
  </si>
  <si>
    <t>Noise Power at Receiver</t>
  </si>
  <si>
    <t>Signal to Noise Power Receiver</t>
  </si>
  <si>
    <t>Required SNR</t>
  </si>
  <si>
    <t>Nepal-PQ1 Down Link Budget Analysis using SNR Method</t>
  </si>
  <si>
    <t>Orbital Altutude</t>
  </si>
  <si>
    <t>Deg</t>
  </si>
  <si>
    <t>EIRP</t>
  </si>
  <si>
    <t>Transmit Power-Gain-Loss</t>
  </si>
  <si>
    <t>GFSK(2K00F1D)</t>
  </si>
  <si>
    <t>CW Morse (500H A1A)</t>
  </si>
  <si>
    <t>RTTY FSK (515H F1B)</t>
  </si>
  <si>
    <t>Downlink Path</t>
  </si>
  <si>
    <t>Ground Station</t>
  </si>
  <si>
    <t>Isotropic Signal Level at GS</t>
  </si>
  <si>
    <t>GS Antenna Pointing Loss</t>
  </si>
  <si>
    <t>GS Antenna Gain</t>
  </si>
  <si>
    <t>GS Transmission Loss</t>
  </si>
  <si>
    <t>Ground Station Effective Noise Temperature:</t>
  </si>
  <si>
    <t>Ground Station Figure of Merrit (G/T):</t>
  </si>
  <si>
    <t>(=Gain-Losses-Noise temperature) in dB</t>
  </si>
  <si>
    <t>(=Signal Level at GS-Gain-Losses)</t>
  </si>
  <si>
    <t>Receiver Bandwidth</t>
  </si>
  <si>
    <t>Receiver Noise Power</t>
  </si>
  <si>
    <t>Pn = K + 10log(Ts) + 10log(B)</t>
  </si>
  <si>
    <t>SNR at Receiver</t>
  </si>
  <si>
    <t>Signal Power-Noise Power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</si>
</sst>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11.0"/>
      <color theme="0"/>
      <name val="Calibri"/>
      <scheme val="minor"/>
    </font>
    <font/>
    <font>
      <b/>
      <sz val="11.0"/>
      <color theme="1"/>
      <name val="Calibri"/>
      <scheme val="minor"/>
    </font>
    <font>
      <sz val="11.0"/>
      <color rgb="FF3F3F76"/>
      <name val="Calibri"/>
      <scheme val="minor"/>
    </font>
    <font>
      <b/>
      <sz val="11.0"/>
      <color rgb="FFFA7D00"/>
      <name val="Calibri"/>
      <scheme val="minor"/>
    </font>
    <font>
      <b/>
      <sz val="11.0"/>
      <color rgb="FF000000"/>
      <name val="Calibri"/>
      <scheme val="minor"/>
    </font>
    <font>
      <sz val="11.0"/>
      <color theme="0"/>
      <name val="Calibri"/>
      <scheme val="minor"/>
    </font>
    <font>
      <sz val="11.0"/>
      <color rgb="FF1F497D"/>
      <name val="Calibri"/>
      <scheme val="minor"/>
    </font>
    <font>
      <color theme="1"/>
      <name val="Calibri"/>
      <scheme val="minor"/>
    </font>
    <font>
      <b/>
      <sz val="10.0"/>
      <color theme="0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sz val="10.0"/>
      <color rgb="FF3F3F76"/>
      <name val="Times New Roman"/>
    </font>
    <font>
      <i/>
      <sz val="10.0"/>
      <color rgb="FF7F7F7F"/>
      <name val="Times New Roman"/>
    </font>
    <font>
      <b/>
      <sz val="10.0"/>
      <color rgb="FFFA7D00"/>
      <name val="Times New Roman"/>
    </font>
    <font>
      <b/>
      <sz val="9.0"/>
      <color theme="0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i/>
      <sz val="11.0"/>
      <color theme="1"/>
      <name val="Calibri"/>
      <scheme val="minor"/>
    </font>
    <font>
      <i/>
      <sz val="11.0"/>
      <color rgb="FF0F243E"/>
      <name val="Calibri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B2A1C7"/>
        <bgColor rgb="FFB2A1C7"/>
      </patternFill>
    </fill>
    <fill>
      <patternFill patternType="solid">
        <fgColor rgb="FFE5B8B7"/>
        <bgColor rgb="FFE5B8B7"/>
      </patternFill>
    </fill>
    <fill>
      <patternFill patternType="solid">
        <fgColor rgb="FF76923C"/>
        <bgColor rgb="FF76923C"/>
      </patternFill>
    </fill>
    <fill>
      <patternFill patternType="solid">
        <fgColor rgb="FF92CDDC"/>
        <bgColor rgb="FF92CDDC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C6D9F0"/>
        <bgColor rgb="FFC6D9F0"/>
      </patternFill>
    </fill>
    <fill>
      <patternFill patternType="solid">
        <fgColor rgb="FFC4BD97"/>
        <bgColor rgb="FFC4BD97"/>
      </patternFill>
    </fill>
    <fill>
      <patternFill patternType="solid">
        <fgColor rgb="FFC2D69B"/>
        <bgColor rgb="FFC2D69B"/>
      </patternFill>
    </fill>
    <fill>
      <patternFill patternType="solid">
        <fgColor rgb="FF92D050"/>
        <bgColor rgb="FF92D050"/>
      </patternFill>
    </fill>
    <fill>
      <patternFill patternType="solid">
        <fgColor rgb="FFB6DDE8"/>
        <bgColor rgb="FFB6DDE8"/>
      </patternFill>
    </fill>
    <fill>
      <patternFill patternType="solid">
        <fgColor rgb="FFE36C09"/>
        <bgColor rgb="FFE36C09"/>
      </patternFill>
    </fill>
    <fill>
      <patternFill patternType="solid">
        <fgColor rgb="FFFFC000"/>
        <bgColor rgb="FFFFC000"/>
      </patternFill>
    </fill>
    <fill>
      <patternFill patternType="solid">
        <fgColor rgb="FF938953"/>
        <bgColor rgb="FF938953"/>
      </patternFill>
    </fill>
    <fill>
      <patternFill patternType="solid">
        <fgColor rgb="FFFDE9D9"/>
        <bgColor rgb="FFFDE9D9"/>
      </patternFill>
    </fill>
    <fill>
      <patternFill patternType="solid">
        <fgColor rgb="FFFBD4B4"/>
        <bgColor rgb="FFFBD4B4"/>
      </patternFill>
    </fill>
    <fill>
      <patternFill patternType="solid">
        <fgColor rgb="FFFABF8F"/>
        <bgColor rgb="FFFABF8F"/>
      </patternFill>
    </fill>
    <fill>
      <patternFill patternType="solid">
        <fgColor theme="8"/>
        <bgColor theme="8"/>
      </patternFill>
    </fill>
  </fills>
  <borders count="2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0" numFmtId="0" xfId="0" applyFont="1"/>
    <xf borderId="4" fillId="4" fontId="0" numFmtId="0" xfId="0" applyAlignment="1" applyBorder="1" applyFill="1" applyFont="1">
      <alignment horizontal="center"/>
    </xf>
    <xf borderId="10" fillId="0" fontId="2" numFmtId="0" xfId="0" applyBorder="1" applyFont="1"/>
    <xf borderId="11" fillId="0" fontId="2" numFmtId="0" xfId="0" applyBorder="1" applyFont="1"/>
    <xf borderId="12" fillId="5" fontId="0" numFmtId="0" xfId="0" applyBorder="1" applyFill="1" applyFont="1"/>
    <xf borderId="13" fillId="0" fontId="0" numFmtId="0" xfId="0" applyBorder="1" applyFont="1"/>
    <xf borderId="14" fillId="5" fontId="0" numFmtId="0" xfId="0" applyBorder="1" applyFont="1"/>
    <xf borderId="14" fillId="6" fontId="4" numFmtId="0" xfId="0" applyBorder="1" applyFill="1" applyFont="1"/>
    <xf borderId="14" fillId="0" fontId="0" numFmtId="0" xfId="0" applyBorder="1" applyFont="1"/>
    <xf borderId="14" fillId="7" fontId="5" numFmtId="0" xfId="0" applyBorder="1" applyFill="1" applyFont="1"/>
    <xf borderId="14" fillId="2" fontId="6" numFmtId="0" xfId="0" applyBorder="1" applyFont="1"/>
    <xf borderId="14" fillId="2" fontId="3" numFmtId="0" xfId="0" applyBorder="1" applyFont="1"/>
    <xf borderId="14" fillId="8" fontId="0" numFmtId="0" xfId="0" applyBorder="1" applyFill="1" applyFont="1"/>
    <xf borderId="14" fillId="8" fontId="5" numFmtId="0" xfId="0" applyBorder="1" applyFont="1"/>
    <xf borderId="0" fillId="0" fontId="7" numFmtId="0" xfId="0" applyFont="1"/>
    <xf borderId="0" fillId="0" fontId="0" numFmtId="0" xfId="0" applyAlignment="1" applyFont="1">
      <alignment horizontal="center"/>
    </xf>
    <xf borderId="1" fillId="0" fontId="0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4" fillId="0" fontId="0" numFmtId="0" xfId="0" applyAlignment="1" applyBorder="1" applyFont="1">
      <alignment horizontal="center" shrinkToFit="0" wrapText="1"/>
    </xf>
    <xf borderId="14" fillId="0" fontId="0" numFmtId="0" xfId="0" applyAlignment="1" applyBorder="1" applyFont="1">
      <alignment horizontal="center"/>
    </xf>
    <xf borderId="14" fillId="9" fontId="0" numFmtId="0" xfId="0" applyBorder="1" applyFill="1" applyFont="1"/>
    <xf borderId="14" fillId="6" fontId="4" numFmtId="0" xfId="0" applyAlignment="1" applyBorder="1" applyFont="1">
      <alignment horizontal="center"/>
    </xf>
    <xf borderId="14" fillId="7" fontId="5" numFmtId="0" xfId="0" applyAlignment="1" applyBorder="1" applyFont="1">
      <alignment horizontal="center"/>
    </xf>
    <xf borderId="0" fillId="0" fontId="8" numFmtId="0" xfId="0" applyFont="1"/>
    <xf borderId="14" fillId="9" fontId="0" numFmtId="0" xfId="0" applyAlignment="1" applyBorder="1" applyFont="1">
      <alignment horizontal="center" vertical="center"/>
    </xf>
    <xf borderId="15" fillId="10" fontId="0" numFmtId="0" xfId="0" applyAlignment="1" applyBorder="1" applyFill="1" applyFont="1">
      <alignment horizontal="center" vertical="center"/>
    </xf>
    <xf borderId="14" fillId="10" fontId="0" numFmtId="0" xfId="0" applyBorder="1" applyFont="1"/>
    <xf borderId="16" fillId="0" fontId="2" numFmtId="0" xfId="0" applyBorder="1" applyFont="1"/>
    <xf borderId="13" fillId="0" fontId="2" numFmtId="0" xfId="0" applyBorder="1" applyFont="1"/>
    <xf borderId="15" fillId="11" fontId="0" numFmtId="0" xfId="0" applyAlignment="1" applyBorder="1" applyFill="1" applyFont="1">
      <alignment horizontal="center" vertical="center"/>
    </xf>
    <xf borderId="14" fillId="11" fontId="0" numFmtId="0" xfId="0" applyBorder="1" applyFont="1"/>
    <xf borderId="0" fillId="0" fontId="9" numFmtId="0" xfId="0" applyFont="1"/>
    <xf borderId="15" fillId="12" fontId="0" numFmtId="0" xfId="0" applyAlignment="1" applyBorder="1" applyFill="1" applyFont="1">
      <alignment horizontal="center" vertical="center"/>
    </xf>
    <xf borderId="14" fillId="12" fontId="0" numFmtId="0" xfId="0" applyBorder="1" applyFont="1"/>
    <xf borderId="14" fillId="0" fontId="0" numFmtId="0" xfId="0" applyAlignment="1" applyBorder="1" applyFont="1">
      <alignment vertical="center"/>
    </xf>
    <xf borderId="14" fillId="13" fontId="0" numFmtId="0" xfId="0" applyBorder="1" applyFill="1" applyFont="1"/>
    <xf borderId="14" fillId="13" fontId="3" numFmtId="0" xfId="0" applyBorder="1" applyFont="1"/>
    <xf borderId="1" fillId="2" fontId="10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14" fillId="9" fontId="12" numFmtId="0" xfId="0" applyBorder="1" applyFont="1"/>
    <xf borderId="14" fillId="9" fontId="12" numFmtId="0" xfId="0" applyAlignment="1" applyBorder="1" applyFont="1">
      <alignment shrinkToFit="0" wrapText="1"/>
    </xf>
    <xf borderId="14" fillId="6" fontId="13" numFmtId="0" xfId="0" applyBorder="1" applyFont="1"/>
    <xf borderId="14" fillId="9" fontId="14" numFmtId="0" xfId="0" applyBorder="1" applyFont="1"/>
    <xf borderId="15" fillId="9" fontId="12" numFmtId="0" xfId="0" applyAlignment="1" applyBorder="1" applyFont="1">
      <alignment horizontal="center" shrinkToFit="0" vertical="center" wrapText="1"/>
    </xf>
    <xf borderId="14" fillId="7" fontId="15" numFmtId="0" xfId="0" applyBorder="1" applyFont="1"/>
    <xf borderId="0" fillId="0" fontId="12" numFmtId="0" xfId="0" applyFont="1"/>
    <xf borderId="0" fillId="0" fontId="12" numFmtId="0" xfId="0" applyAlignment="1" applyFont="1">
      <alignment shrinkToFit="0" wrapText="1"/>
    </xf>
    <xf borderId="0" fillId="0" fontId="14" numFmtId="0" xfId="0" applyFont="1"/>
    <xf borderId="14" fillId="10" fontId="12" numFmtId="0" xfId="0" applyAlignment="1" applyBorder="1" applyFont="1">
      <alignment horizontal="center" vertical="center"/>
    </xf>
    <xf borderId="14" fillId="10" fontId="12" numFmtId="0" xfId="0" applyAlignment="1" applyBorder="1" applyFont="1">
      <alignment shrinkToFit="0" wrapText="1"/>
    </xf>
    <xf borderId="14" fillId="10" fontId="14" numFmtId="0" xfId="0" applyBorder="1" applyFont="1"/>
    <xf borderId="15" fillId="11" fontId="12" numFmtId="0" xfId="0" applyAlignment="1" applyBorder="1" applyFont="1">
      <alignment horizontal="center" vertical="center"/>
    </xf>
    <xf borderId="14" fillId="11" fontId="12" numFmtId="0" xfId="0" applyAlignment="1" applyBorder="1" applyFont="1">
      <alignment shrinkToFit="0" wrapText="1"/>
    </xf>
    <xf borderId="14" fillId="11" fontId="14" numFmtId="0" xfId="0" applyBorder="1" applyFont="1"/>
    <xf borderId="15" fillId="12" fontId="12" numFmtId="0" xfId="0" applyAlignment="1" applyBorder="1" applyFont="1">
      <alignment horizontal="center" vertical="center"/>
    </xf>
    <xf borderId="14" fillId="12" fontId="12" numFmtId="0" xfId="0" applyAlignment="1" applyBorder="1" applyFont="1">
      <alignment shrinkToFit="0" wrapText="1"/>
    </xf>
    <xf borderId="14" fillId="12" fontId="14" numFmtId="0" xfId="0" applyBorder="1" applyFont="1"/>
    <xf borderId="14" fillId="14" fontId="12" numFmtId="0" xfId="0" applyBorder="1" applyFill="1" applyFont="1"/>
    <xf borderId="14" fillId="14" fontId="11" numFmtId="0" xfId="0" applyBorder="1" applyFont="1"/>
    <xf borderId="14" fillId="14" fontId="15" numFmtId="0" xfId="0" applyBorder="1" applyFont="1"/>
    <xf borderId="14" fillId="14" fontId="14" numFmtId="0" xfId="0" applyBorder="1" applyFont="1"/>
    <xf borderId="1" fillId="2" fontId="16" numFmtId="0" xfId="0" applyAlignment="1" applyBorder="1" applyFont="1">
      <alignment horizontal="center" shrinkToFit="0" wrapText="1"/>
    </xf>
    <xf borderId="1" fillId="0" fontId="17" numFmtId="0" xfId="0" applyAlignment="1" applyBorder="1" applyFont="1">
      <alignment horizontal="center" shrinkToFit="0" wrapText="1"/>
    </xf>
    <xf borderId="15" fillId="9" fontId="18" numFmtId="0" xfId="0" applyAlignment="1" applyBorder="1" applyFont="1">
      <alignment horizontal="center" shrinkToFit="0" wrapText="1"/>
    </xf>
    <xf borderId="14" fillId="9" fontId="18" numFmtId="0" xfId="0" applyAlignment="1" applyBorder="1" applyFont="1">
      <alignment shrinkToFit="0" wrapText="1"/>
    </xf>
    <xf borderId="14" fillId="9" fontId="0" numFmtId="0" xfId="0" applyAlignment="1" applyBorder="1" applyFont="1">
      <alignment shrinkToFit="0" wrapText="1"/>
    </xf>
    <xf borderId="17" fillId="9" fontId="18" numFmtId="0" xfId="0" applyAlignment="1" applyBorder="1" applyFont="1">
      <alignment shrinkToFit="0" wrapText="1"/>
    </xf>
    <xf borderId="14" fillId="9" fontId="0" numFmtId="0" xfId="0" applyAlignment="1" applyBorder="1" applyFont="1">
      <alignment readingOrder="0" shrinkToFit="0" wrapText="1"/>
    </xf>
    <xf borderId="15" fillId="9" fontId="18" numFmtId="0" xfId="0" applyAlignment="1" applyBorder="1" applyFont="1">
      <alignment horizontal="center" shrinkToFit="0" vertical="center" wrapText="1"/>
    </xf>
    <xf borderId="18" fillId="9" fontId="0" numFmtId="0" xfId="0" applyBorder="1" applyFont="1"/>
    <xf borderId="14" fillId="0" fontId="18" numFmtId="0" xfId="0" applyAlignment="1" applyBorder="1" applyFont="1">
      <alignment shrinkToFit="0" wrapText="1"/>
    </xf>
    <xf borderId="14" fillId="0" fontId="19" numFmtId="0" xfId="0" applyAlignment="1" applyBorder="1" applyFont="1">
      <alignment shrinkToFit="0" wrapText="1"/>
    </xf>
    <xf borderId="15" fillId="15" fontId="18" numFmtId="0" xfId="0" applyAlignment="1" applyBorder="1" applyFill="1" applyFont="1">
      <alignment horizontal="center" shrinkToFit="0" vertical="center" wrapText="1"/>
    </xf>
    <xf borderId="14" fillId="15" fontId="18" numFmtId="0" xfId="0" applyAlignment="1" applyBorder="1" applyFont="1">
      <alignment shrinkToFit="0" wrapText="1"/>
    </xf>
    <xf borderId="14" fillId="15" fontId="0" numFmtId="0" xfId="0" applyAlignment="1" applyBorder="1" applyFont="1">
      <alignment shrinkToFit="0" wrapText="1"/>
    </xf>
    <xf borderId="14" fillId="15" fontId="0" numFmtId="0" xfId="0" applyBorder="1" applyFont="1"/>
    <xf borderId="17" fillId="15" fontId="18" numFmtId="0" xfId="0" applyAlignment="1" applyBorder="1" applyFont="1">
      <alignment shrinkToFit="0" wrapText="1"/>
    </xf>
    <xf borderId="14" fillId="15" fontId="19" numFmtId="0" xfId="0" applyAlignment="1" applyBorder="1" applyFont="1">
      <alignment shrinkToFit="0" wrapText="1"/>
    </xf>
    <xf borderId="18" fillId="15" fontId="0" numFmtId="0" xfId="0" applyBorder="1" applyFont="1"/>
    <xf borderId="14" fillId="16" fontId="18" numFmtId="0" xfId="0" applyAlignment="1" applyBorder="1" applyFill="1" applyFont="1">
      <alignment shrinkToFit="0" wrapText="1"/>
    </xf>
    <xf borderId="14" fillId="17" fontId="18" numFmtId="0" xfId="0" applyAlignment="1" applyBorder="1" applyFill="1" applyFont="1">
      <alignment shrinkToFit="0" wrapText="1"/>
    </xf>
    <xf borderId="14" fillId="18" fontId="18" numFmtId="0" xfId="0" applyAlignment="1" applyBorder="1" applyFill="1" applyFont="1">
      <alignment shrinkToFit="0" wrapText="1"/>
    </xf>
    <xf borderId="15" fillId="11" fontId="18" numFmtId="0" xfId="0" applyAlignment="1" applyBorder="1" applyFont="1">
      <alignment horizontal="center" shrinkToFit="0" vertical="center" wrapText="1"/>
    </xf>
    <xf borderId="14" fillId="11" fontId="18" numFmtId="0" xfId="0" applyAlignment="1" applyBorder="1" applyFont="1">
      <alignment shrinkToFit="0" wrapText="1"/>
    </xf>
    <xf borderId="19" fillId="16" fontId="0" numFmtId="0" xfId="0" applyAlignment="1" applyBorder="1" applyFont="1">
      <alignment shrinkToFit="0" wrapText="1"/>
    </xf>
    <xf borderId="14" fillId="11" fontId="19" numFmtId="0" xfId="0" applyAlignment="1" applyBorder="1" applyFont="1">
      <alignment shrinkToFit="0" wrapText="1"/>
    </xf>
    <xf borderId="15" fillId="4" fontId="18" numFmtId="0" xfId="0" applyAlignment="1" applyBorder="1" applyFont="1">
      <alignment horizontal="center" shrinkToFit="0" vertical="center" wrapText="1"/>
    </xf>
    <xf borderId="14" fillId="4" fontId="18" numFmtId="0" xfId="0" applyAlignment="1" applyBorder="1" applyFont="1">
      <alignment shrinkToFit="0" wrapText="1"/>
    </xf>
    <xf borderId="14" fillId="4" fontId="19" numFmtId="0" xfId="0" applyAlignment="1" applyBorder="1" applyFont="1">
      <alignment shrinkToFit="0" wrapText="1"/>
    </xf>
    <xf borderId="14" fillId="19" fontId="18" numFmtId="0" xfId="0" applyAlignment="1" applyBorder="1" applyFill="1" applyFont="1">
      <alignment shrinkToFit="0" wrapText="1"/>
    </xf>
    <xf borderId="14" fillId="19" fontId="19" numFmtId="0" xfId="0" applyAlignment="1" applyBorder="1" applyFont="1">
      <alignment shrinkToFit="0" wrapText="1"/>
    </xf>
    <xf borderId="0" fillId="0" fontId="18" numFmtId="0" xfId="0" applyAlignment="1" applyFont="1">
      <alignment shrinkToFit="0" wrapText="1"/>
    </xf>
    <xf borderId="0" fillId="0" fontId="20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Uplink!$O$4:$O$13</c:f>
            </c:strRef>
          </c:cat>
          <c:val>
            <c:numRef>
              <c:f>Uplink!$J$4:$J$13</c:f>
              <c:numCache/>
            </c:numRef>
          </c:val>
          <c:smooth val="0"/>
        </c:ser>
        <c:axId val="1417232816"/>
        <c:axId val="1208560926"/>
      </c:lineChart>
      <c:catAx>
        <c:axId val="1417232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8560926"/>
      </c:catAx>
      <c:valAx>
        <c:axId val="12085609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Elevation Angle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72328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447675</xdr:colOff>
      <xdr:row>14</xdr:row>
      <xdr:rowOff>47625</xdr:rowOff>
    </xdr:from>
    <xdr:ext cx="1285875" cy="1247775"/>
    <xdr:grpSp>
      <xdr:nvGrpSpPr>
        <xdr:cNvPr id="2" name="Shape 2"/>
        <xdr:cNvGrpSpPr/>
      </xdr:nvGrpSpPr>
      <xdr:grpSpPr>
        <a:xfrm>
          <a:off x="4707825" y="3160725"/>
          <a:ext cx="1276200" cy="1238400"/>
          <a:chOff x="4707825" y="3160725"/>
          <a:chExt cx="1276200" cy="1238400"/>
        </a:xfrm>
      </xdr:grpSpPr>
      <xdr:cxnSp>
        <xdr:nvCxnSpPr>
          <xdr:cNvPr id="3" name="Shape 3"/>
          <xdr:cNvCxnSpPr>
            <a:endCxn id="4" idx="7"/>
          </xdr:cNvCxnSpPr>
        </xdr:nvCxnSpPr>
        <xdr:spPr>
          <a:xfrm flipH="1" rot="10800000">
            <a:off x="4707825" y="3160725"/>
            <a:ext cx="1276200" cy="123840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dot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</xdr:col>
      <xdr:colOff>142875</xdr:colOff>
      <xdr:row>11</xdr:row>
      <xdr:rowOff>114300</xdr:rowOff>
    </xdr:from>
    <xdr:ext cx="3629025" cy="3267075"/>
    <xdr:grpSp>
      <xdr:nvGrpSpPr>
        <xdr:cNvPr id="2" name="Shape 2"/>
        <xdr:cNvGrpSpPr/>
      </xdr:nvGrpSpPr>
      <xdr:grpSpPr>
        <a:xfrm>
          <a:off x="3531488" y="2146463"/>
          <a:ext cx="3629025" cy="3267075"/>
          <a:chOff x="3531488" y="2146463"/>
          <a:chExt cx="3629025" cy="3267075"/>
        </a:xfrm>
      </xdr:grpSpPr>
      <xdr:grpSp>
        <xdr:nvGrpSpPr>
          <xdr:cNvPr id="5" name="Shape 5"/>
          <xdr:cNvGrpSpPr/>
        </xdr:nvGrpSpPr>
        <xdr:grpSpPr>
          <a:xfrm>
            <a:off x="3531488" y="2146463"/>
            <a:ext cx="3629025" cy="3267075"/>
            <a:chOff x="2712569" y="1058582"/>
            <a:chExt cx="4961220" cy="4743078"/>
          </a:xfrm>
        </xdr:grpSpPr>
        <xdr:sp>
          <xdr:nvSpPr>
            <xdr:cNvPr id="6" name="Shape 6"/>
            <xdr:cNvSpPr/>
          </xdr:nvSpPr>
          <xdr:spPr>
            <a:xfrm>
              <a:off x="2712569" y="1058582"/>
              <a:ext cx="4961200" cy="474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" name="Shape 4"/>
            <xdr:cNvSpPr/>
          </xdr:nvSpPr>
          <xdr:spPr>
            <a:xfrm>
              <a:off x="2712569" y="1058582"/>
              <a:ext cx="4961220" cy="4743078"/>
            </a:xfrm>
            <a:prstGeom prst="ellipse">
              <a:avLst/>
            </a:prstGeom>
            <a:solidFill>
              <a:schemeClr val="lt1"/>
            </a:solidFill>
            <a:ln cap="flat" cmpd="sng" w="25400">
              <a:solidFill>
                <a:schemeClr val="dk1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7" name="Shape 7"/>
            <xdr:cNvSpPr/>
          </xdr:nvSpPr>
          <xdr:spPr>
            <a:xfrm>
              <a:off x="3992657" y="2447061"/>
              <a:ext cx="2446991" cy="2327765"/>
            </a:xfrm>
            <a:prstGeom prst="ellipse">
              <a:avLst/>
            </a:prstGeom>
            <a:solidFill>
              <a:schemeClr val="lt1"/>
            </a:solidFill>
            <a:ln cap="flat" cmpd="sng" w="25400">
              <a:solidFill>
                <a:schemeClr val="dk1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cxnSp>
          <xdr:nvCxnSpPr>
            <xdr:cNvPr id="8" name="Shape 8"/>
            <xdr:cNvCxnSpPr>
              <a:stCxn id="7" idx="0"/>
            </xdr:cNvCxnSpPr>
          </xdr:nvCxnSpPr>
          <xdr:spPr>
            <a:xfrm flipH="1">
              <a:off x="5180453" y="2447061"/>
              <a:ext cx="35700" cy="97110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round/>
              <a:headEnd len="sm" w="sm" type="none"/>
              <a:tailEnd len="sm" w="sm" type="none"/>
            </a:ln>
          </xdr:spPr>
        </xdr:cxnSp>
        <xdr:sp>
          <xdr:nvSpPr>
            <xdr:cNvPr id="9" name="Shape 9"/>
            <xdr:cNvSpPr/>
          </xdr:nvSpPr>
          <xdr:spPr>
            <a:xfrm>
              <a:off x="5568950" y="2317750"/>
              <a:ext cx="57150" cy="127000"/>
            </a:xfrm>
            <a:custGeom>
              <a:rect b="b" l="l" r="r" t="t"/>
              <a:pathLst>
                <a:path extrusionOk="0" h="127000" w="57150">
                  <a:moveTo>
                    <a:pt x="0" y="0"/>
                  </a:moveTo>
                  <a:cubicBezTo>
                    <a:pt x="10583" y="10583"/>
                    <a:pt x="23715" y="19123"/>
                    <a:pt x="31750" y="31750"/>
                  </a:cubicBezTo>
                  <a:cubicBezTo>
                    <a:pt x="38937" y="43044"/>
                    <a:pt x="40217" y="57150"/>
                    <a:pt x="44450" y="69850"/>
                  </a:cubicBezTo>
                  <a:cubicBezTo>
                    <a:pt x="47444" y="78833"/>
                    <a:pt x="57150" y="106327"/>
                    <a:pt x="57150" y="114300"/>
                  </a:cubicBezTo>
                  <a:cubicBezTo>
                    <a:pt x="57150" y="119033"/>
                    <a:pt x="52917" y="122767"/>
                    <a:pt x="50800" y="127000"/>
                  </a:cubicBezTo>
                </a:path>
              </a:pathLst>
            </a:custGeom>
            <a:noFill/>
            <a:ln cap="flat" cmpd="sng" w="9525">
              <a:solidFill>
                <a:srgbClr val="4A7DBA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0" name="Shape 10"/>
            <xdr:cNvSpPr txBox="1"/>
          </xdr:nvSpPr>
          <xdr:spPr>
            <a:xfrm>
              <a:off x="5664200" y="2144242"/>
              <a:ext cx="323849" cy="311149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θ</a:t>
              </a:r>
              <a:endParaRPr sz="1100"/>
            </a:p>
          </xdr:txBody>
        </xdr:sp>
        <xdr:sp>
          <xdr:nvSpPr>
            <xdr:cNvPr id="11" name="Shape 11"/>
            <xdr:cNvSpPr txBox="1"/>
          </xdr:nvSpPr>
          <xdr:spPr>
            <a:xfrm>
              <a:off x="6623050" y="2692400"/>
              <a:ext cx="323850" cy="31115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h</a:t>
              </a:r>
              <a:endParaRPr sz="1400"/>
            </a:p>
          </xdr:txBody>
        </xdr:sp>
        <xdr:sp>
          <xdr:nvSpPr>
            <xdr:cNvPr id="12" name="Shape 12"/>
            <xdr:cNvSpPr txBox="1"/>
          </xdr:nvSpPr>
          <xdr:spPr>
            <a:xfrm>
              <a:off x="5778500" y="3098800"/>
              <a:ext cx="323850" cy="31115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R</a:t>
              </a:r>
              <a:endParaRPr sz="1400"/>
            </a:p>
          </xdr:txBody>
        </xdr:sp>
        <xdr:cxnSp>
          <xdr:nvCxnSpPr>
            <xdr:cNvPr id="13" name="Shape 13"/>
            <xdr:cNvCxnSpPr/>
          </xdr:nvCxnSpPr>
          <xdr:spPr>
            <a:xfrm flipH="1" rot="10800000">
              <a:off x="5187950" y="2438400"/>
              <a:ext cx="2228850" cy="99060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round/>
              <a:headEnd len="sm" w="sm" type="none"/>
              <a:tailEnd len="sm" w="sm" type="none"/>
            </a:ln>
          </xdr:spPr>
        </xdr:cxnSp>
        <xdr:sp>
          <xdr:nvSpPr>
            <xdr:cNvPr id="14" name="Shape 14"/>
            <xdr:cNvSpPr txBox="1"/>
          </xdr:nvSpPr>
          <xdr:spPr>
            <a:xfrm>
              <a:off x="6616700" y="2124369"/>
              <a:ext cx="323849" cy="311149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x</a:t>
              </a:r>
              <a:endParaRPr sz="1400"/>
            </a:p>
          </xdr:txBody>
        </xdr:sp>
        <xdr:cxnSp>
          <xdr:nvCxnSpPr>
            <xdr:cNvPr id="15" name="Shape 15"/>
            <xdr:cNvCxnSpPr/>
          </xdr:nvCxnSpPr>
          <xdr:spPr>
            <a:xfrm>
              <a:off x="5172075" y="2444750"/>
              <a:ext cx="2263775" cy="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solid"/>
              <a:round/>
              <a:headEnd len="sm" w="sm" type="none"/>
              <a:tailEnd len="sm" w="sm" type="none"/>
            </a:ln>
          </xdr:spPr>
        </xdr:cxnSp>
        <xdr:sp>
          <xdr:nvSpPr>
            <xdr:cNvPr id="16" name="Shape 16"/>
            <xdr:cNvSpPr txBox="1"/>
          </xdr:nvSpPr>
          <xdr:spPr>
            <a:xfrm>
              <a:off x="6016176" y="1744605"/>
              <a:ext cx="323849" cy="311149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y</a:t>
              </a:r>
              <a:endParaRPr sz="1400"/>
            </a:p>
          </xdr:txBody>
        </xdr:sp>
        <xdr:cxnSp>
          <xdr:nvCxnSpPr>
            <xdr:cNvPr id="17" name="Shape 17"/>
            <xdr:cNvCxnSpPr>
              <a:stCxn id="7" idx="0"/>
              <a:endCxn id="4" idx="7"/>
            </xdr:cNvCxnSpPr>
          </xdr:nvCxnSpPr>
          <xdr:spPr>
            <a:xfrm flipH="1" rot="10800000">
              <a:off x="5216153" y="1753161"/>
              <a:ext cx="1731000" cy="693900"/>
            </a:xfrm>
            <a:prstGeom prst="straightConnector1">
              <a:avLst/>
            </a:prstGeom>
            <a:noFill/>
            <a:ln cap="flat" cmpd="sng" w="9525">
              <a:solidFill>
                <a:schemeClr val="dk1"/>
              </a:solidFill>
              <a:prstDash val="dot"/>
              <a:round/>
              <a:headEnd len="sm" w="sm" type="none"/>
              <a:tailEnd len="sm" w="sm" type="none"/>
            </a:ln>
          </xdr:spPr>
        </xdr:cxnSp>
        <xdr:sp>
          <xdr:nvSpPr>
            <xdr:cNvPr id="18" name="Shape 18"/>
            <xdr:cNvSpPr txBox="1"/>
          </xdr:nvSpPr>
          <xdr:spPr>
            <a:xfrm>
              <a:off x="4065627" y="4781550"/>
              <a:ext cx="2535145" cy="882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R= Radius of Earth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h= Orbital Altitude</a:t>
              </a:r>
              <a:endParaRPr sz="11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x= Altitude at Horizon</a:t>
              </a:r>
              <a:endParaRPr sz="1400"/>
            </a:p>
            <a:p>
              <a:pPr indent="0" lvl="0" marL="0" marR="0" rtl="0" algn="l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SzPts val="1100"/>
                <a:buFont typeface="Arial"/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y= Altitude at Elevation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 </a:t>
              </a: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θ</a:t>
              </a:r>
              <a:endParaRPr sz="1100"/>
            </a:p>
          </xdr:txBody>
        </xdr:sp>
      </xdr:grpSp>
    </xdr:grpSp>
    <xdr:clientData fLocksWithSheet="0"/>
  </xdr:oneCellAnchor>
  <xdr:oneCellAnchor>
    <xdr:from>
      <xdr:col>0</xdr:col>
      <xdr:colOff>552450</xdr:colOff>
      <xdr:row>4</xdr:row>
      <xdr:rowOff>47625</xdr:rowOff>
    </xdr:from>
    <xdr:ext cx="2581275" cy="1838325"/>
    <xdr:sp>
      <xdr:nvSpPr>
        <xdr:cNvPr id="19" name="Shape 19"/>
        <xdr:cNvSpPr txBox="1"/>
      </xdr:nvSpPr>
      <xdr:spPr>
        <a:xfrm>
          <a:off x="4059098" y="2862891"/>
          <a:ext cx="2573804" cy="1834218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342900</xdr:colOff>
      <xdr:row>16</xdr:row>
      <xdr:rowOff>142875</xdr:rowOff>
    </xdr:from>
    <xdr:ext cx="1657350" cy="38100"/>
    <xdr:grpSp>
      <xdr:nvGrpSpPr>
        <xdr:cNvPr id="2" name="Shape 2"/>
        <xdr:cNvGrpSpPr/>
      </xdr:nvGrpSpPr>
      <xdr:grpSpPr>
        <a:xfrm>
          <a:off x="4517325" y="3780000"/>
          <a:ext cx="1657350" cy="0"/>
          <a:chOff x="4517325" y="3780000"/>
          <a:chExt cx="1657350" cy="0"/>
        </a:xfrm>
      </xdr:grpSpPr>
      <xdr:cxnSp>
        <xdr:nvCxnSpPr>
          <xdr:cNvPr id="20" name="Shape 20"/>
          <xdr:cNvCxnSpPr/>
        </xdr:nvCxnSpPr>
        <xdr:spPr>
          <a:xfrm>
            <a:off x="4517325" y="3780000"/>
            <a:ext cx="165735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dash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171450</xdr:colOff>
      <xdr:row>21</xdr:row>
      <xdr:rowOff>38100</xdr:rowOff>
    </xdr:from>
    <xdr:ext cx="638175" cy="466725"/>
    <xdr:sp>
      <xdr:nvSpPr>
        <xdr:cNvPr id="21" name="Shape 21"/>
        <xdr:cNvSpPr txBox="1"/>
      </xdr:nvSpPr>
      <xdr:spPr>
        <a:xfrm>
          <a:off x="5031675" y="3551400"/>
          <a:ext cx="628650" cy="4572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Earth</a:t>
          </a:r>
          <a:endParaRPr sz="1100"/>
        </a:p>
      </xdr:txBody>
    </xdr:sp>
    <xdr:clientData fLocksWithSheet="0"/>
  </xdr:oneCellAnchor>
  <xdr:oneCellAnchor>
    <xdr:from>
      <xdr:col>7</xdr:col>
      <xdr:colOff>523875</xdr:colOff>
      <xdr:row>13</xdr:row>
      <xdr:rowOff>123825</xdr:rowOff>
    </xdr:from>
    <xdr:ext cx="142875" cy="161925"/>
    <xdr:sp>
      <xdr:nvSpPr>
        <xdr:cNvPr id="22" name="Shape 22"/>
        <xdr:cNvSpPr/>
      </xdr:nvSpPr>
      <xdr:spPr>
        <a:xfrm rot="-2222559">
          <a:off x="5317425" y="3718088"/>
          <a:ext cx="57150" cy="12382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8</xdr:col>
      <xdr:colOff>333375</xdr:colOff>
      <xdr:row>16</xdr:row>
      <xdr:rowOff>85725</xdr:rowOff>
    </xdr:from>
    <xdr:ext cx="133350" cy="161925"/>
    <xdr:sp>
      <xdr:nvSpPr>
        <xdr:cNvPr id="23" name="Shape 23"/>
        <xdr:cNvSpPr/>
      </xdr:nvSpPr>
      <xdr:spPr>
        <a:xfrm rot="-311267">
          <a:off x="5298375" y="3718088"/>
          <a:ext cx="95250" cy="12382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361950</xdr:colOff>
      <xdr:row>14</xdr:row>
      <xdr:rowOff>-19050</xdr:rowOff>
    </xdr:from>
    <xdr:ext cx="85725" cy="38100"/>
    <xdr:grpSp>
      <xdr:nvGrpSpPr>
        <xdr:cNvPr id="2" name="Shape 2"/>
        <xdr:cNvGrpSpPr/>
      </xdr:nvGrpSpPr>
      <xdr:grpSpPr>
        <a:xfrm>
          <a:off x="5303138" y="3780000"/>
          <a:ext cx="85725" cy="0"/>
          <a:chOff x="5303138" y="3780000"/>
          <a:chExt cx="85725" cy="0"/>
        </a:xfrm>
      </xdr:grpSpPr>
      <xdr:cxnSp>
        <xdr:nvCxnSpPr>
          <xdr:cNvPr id="24" name="Shape 24"/>
          <xdr:cNvCxnSpPr/>
        </xdr:nvCxnSpPr>
        <xdr:spPr>
          <a:xfrm rot="10800000">
            <a:off x="5303138" y="3780000"/>
            <a:ext cx="85725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round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</xdr:col>
      <xdr:colOff>209550</xdr:colOff>
      <xdr:row>16</xdr:row>
      <xdr:rowOff>85725</xdr:rowOff>
    </xdr:from>
    <xdr:ext cx="133350" cy="161925"/>
    <xdr:sp>
      <xdr:nvSpPr>
        <xdr:cNvPr id="23" name="Shape 23"/>
        <xdr:cNvSpPr/>
      </xdr:nvSpPr>
      <xdr:spPr>
        <a:xfrm rot="-311267">
          <a:off x="5298375" y="3718088"/>
          <a:ext cx="95250" cy="123825"/>
        </a:xfrm>
        <a:prstGeom prst="rect">
          <a:avLst/>
        </a:prstGeom>
        <a:solidFill>
          <a:schemeClr val="lt1"/>
        </a:solidFill>
        <a:ln cap="flat" cmpd="sng" w="25400">
          <a:solidFill>
            <a:schemeClr val="dk1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409575</xdr:colOff>
      <xdr:row>16</xdr:row>
      <xdr:rowOff>85725</xdr:rowOff>
    </xdr:from>
    <xdr:ext cx="5467350" cy="2752725"/>
    <xdr:graphicFrame>
      <xdr:nvGraphicFramePr>
        <xdr:cNvPr id="139122531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333375</xdr:colOff>
      <xdr:row>5</xdr:row>
      <xdr:rowOff>0</xdr:rowOff>
    </xdr:from>
    <xdr:ext cx="1609725" cy="342900"/>
    <xdr:sp>
      <xdr:nvSpPr>
        <xdr:cNvPr id="25" name="Shape 25"/>
        <xdr:cNvSpPr txBox="1"/>
      </xdr:nvSpPr>
      <xdr:spPr>
        <a:xfrm>
          <a:off x="4542090" y="3608575"/>
          <a:ext cx="1607820" cy="342851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8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=</a:t>
          </a:r>
          <a:endParaRPr sz="8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8.71"/>
    <col customWidth="1" min="4" max="4" width="14.0"/>
    <col customWidth="1" min="5" max="26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  <c r="B2" s="5"/>
      <c r="C2" s="5"/>
      <c r="D2" s="5"/>
      <c r="E2" s="5"/>
      <c r="F2" s="5"/>
      <c r="G2" s="6"/>
    </row>
    <row r="3" ht="14.25" customHeight="1">
      <c r="A3" s="7"/>
      <c r="B3" s="8"/>
      <c r="C3" s="8"/>
      <c r="D3" s="8"/>
      <c r="E3" s="8"/>
      <c r="F3" s="8"/>
      <c r="G3" s="9"/>
    </row>
    <row r="4" ht="14.25" customHeight="1">
      <c r="A4" s="10"/>
      <c r="B4" s="10"/>
      <c r="C4" s="10"/>
      <c r="D4" s="10"/>
      <c r="E4" s="10"/>
      <c r="F4" s="10"/>
      <c r="G4" s="10"/>
    </row>
    <row r="5" ht="14.25" customHeight="1">
      <c r="A5" s="11"/>
      <c r="B5" s="5"/>
      <c r="C5" s="5"/>
      <c r="D5" s="5"/>
      <c r="E5" s="5"/>
      <c r="F5" s="5"/>
      <c r="G5" s="6"/>
    </row>
    <row r="6" ht="14.25" customHeight="1">
      <c r="A6" s="12"/>
      <c r="G6" s="13"/>
    </row>
    <row r="7" ht="14.25" customHeight="1">
      <c r="A7" s="12"/>
      <c r="G7" s="13"/>
    </row>
    <row r="8" ht="14.25" customHeight="1">
      <c r="A8" s="12"/>
      <c r="G8" s="13"/>
    </row>
    <row r="9" ht="14.25" customHeight="1">
      <c r="A9" s="12"/>
      <c r="G9" s="13"/>
    </row>
    <row r="10" ht="14.25" customHeight="1">
      <c r="A10" s="12"/>
      <c r="G10" s="13"/>
    </row>
    <row r="11" ht="27.0" customHeight="1">
      <c r="A11" s="12"/>
      <c r="G11" s="13"/>
    </row>
    <row r="12" ht="14.25" customHeight="1">
      <c r="A12" s="12"/>
      <c r="G12" s="13"/>
    </row>
    <row r="13" ht="14.25" customHeight="1">
      <c r="A13" s="12"/>
      <c r="G13" s="13"/>
    </row>
    <row r="14" ht="14.25" customHeight="1">
      <c r="A14" s="7"/>
      <c r="B14" s="8"/>
      <c r="C14" s="8"/>
      <c r="D14" s="8"/>
      <c r="E14" s="8"/>
      <c r="F14" s="8"/>
      <c r="G14" s="9"/>
    </row>
    <row r="15" ht="14.25" customHeight="1">
      <c r="A15" s="14" t="s">
        <v>2</v>
      </c>
      <c r="B15" s="14" t="s">
        <v>3</v>
      </c>
      <c r="C15" s="14">
        <v>6378.0</v>
      </c>
      <c r="D15" s="14" t="s">
        <v>4</v>
      </c>
      <c r="E15" s="15"/>
      <c r="F15" s="15"/>
      <c r="G15" s="15"/>
    </row>
    <row r="16" ht="14.25" customHeight="1">
      <c r="A16" s="16" t="s">
        <v>5</v>
      </c>
      <c r="B16" s="16" t="s">
        <v>6</v>
      </c>
      <c r="C16" s="17">
        <v>500.0</v>
      </c>
      <c r="D16" s="16" t="s">
        <v>4</v>
      </c>
      <c r="E16" s="16"/>
      <c r="F16" s="18"/>
      <c r="G16" s="18"/>
    </row>
    <row r="17" ht="14.25" customHeight="1">
      <c r="A17" s="16"/>
      <c r="B17" s="16" t="s">
        <v>7</v>
      </c>
      <c r="C17" s="19">
        <f>((C15+C16)^2-C15^2)^0.5</f>
        <v>2574.490241</v>
      </c>
      <c r="D17" s="16" t="s">
        <v>4</v>
      </c>
      <c r="E17" s="16"/>
      <c r="F17" s="18"/>
      <c r="G17" s="18"/>
    </row>
    <row r="18" ht="14.25" customHeight="1">
      <c r="C18" s="10"/>
      <c r="D18" s="10"/>
      <c r="E18" s="10"/>
      <c r="F18" s="10"/>
      <c r="G18" s="10"/>
      <c r="H18" s="10"/>
    </row>
    <row r="19" ht="14.25" customHeight="1">
      <c r="A19" s="20" t="s">
        <v>8</v>
      </c>
      <c r="B19" s="21" t="s">
        <v>9</v>
      </c>
      <c r="C19" s="10"/>
      <c r="D19" s="10"/>
      <c r="E19" s="10"/>
      <c r="F19" s="10"/>
      <c r="G19" s="10"/>
      <c r="H19" s="10"/>
    </row>
    <row r="20" ht="14.25" customHeight="1">
      <c r="A20" s="22">
        <v>0.0</v>
      </c>
      <c r="B20" s="23">
        <f>C15*((((((C15+C16)^2)/C15^2)-COS(A20/57.2958)^2))^0.5-SIN(A20/57.2958))</f>
        <v>2574.490241</v>
      </c>
      <c r="C20" s="10"/>
      <c r="D20" s="10"/>
      <c r="E20" s="10"/>
      <c r="F20" s="10"/>
      <c r="G20" s="10"/>
      <c r="H20" s="10"/>
    </row>
    <row r="21" ht="14.25" customHeight="1">
      <c r="A21" s="22">
        <v>10.0</v>
      </c>
      <c r="B21" s="23">
        <f>C15*((((((C15+C16)^2)/C15^2)-COS(A21/57.2958)^2))^0.5-SIN(A21/57.2958))</f>
        <v>1695.08138</v>
      </c>
      <c r="C21" s="10"/>
      <c r="D21" s="10"/>
      <c r="E21" s="10"/>
      <c r="F21" s="10"/>
      <c r="G21" s="10"/>
      <c r="H21" s="10"/>
    </row>
    <row r="22" ht="14.25" customHeight="1">
      <c r="A22" s="22">
        <v>20.0</v>
      </c>
      <c r="B22" s="23">
        <f>C15*((((((C15+C16)^2)/C15^2)-COS(A22/57.2958)^2))^0.5-SIN(A22/57.2958))</f>
        <v>1192.988399</v>
      </c>
      <c r="C22" s="10"/>
      <c r="D22" s="10"/>
      <c r="E22" s="10"/>
      <c r="F22" s="10"/>
      <c r="G22" s="10"/>
      <c r="H22" s="10"/>
    </row>
    <row r="23" ht="14.25" customHeight="1">
      <c r="A23" s="22">
        <v>30.0</v>
      </c>
      <c r="B23" s="23">
        <f>C15*((((((C15+C16)^2)/C15^2)-COS(A23/57.2958)^2))^0.5-SIN(A23/57.2958))</f>
        <v>909.5025169</v>
      </c>
      <c r="C23" s="10"/>
      <c r="D23" s="10"/>
      <c r="E23" s="10"/>
      <c r="F23" s="10"/>
      <c r="G23" s="10"/>
      <c r="H23" s="10"/>
    </row>
    <row r="24" ht="14.25" customHeight="1">
      <c r="A24" s="22">
        <v>40.0</v>
      </c>
      <c r="B24" s="23">
        <f>C15*((((((C15+C16)^2)/C15^2)-COS(A24/57.2958)^2))^0.5-SIN(A24/57.2958))</f>
        <v>741.3270424</v>
      </c>
      <c r="C24" s="10"/>
      <c r="D24" s="10"/>
      <c r="E24" s="10"/>
      <c r="F24" s="10"/>
      <c r="G24" s="10"/>
      <c r="H24" s="10"/>
    </row>
    <row r="25" ht="14.25" customHeight="1">
      <c r="A25" s="22">
        <v>50.0</v>
      </c>
      <c r="B25" s="23">
        <f>C15*((((((C15+C16)^2)/C15^2)-COS(A25/57.2958)^2))^0.5-SIN(A25/57.2958))</f>
        <v>636.7902622</v>
      </c>
      <c r="C25" s="10"/>
      <c r="D25" s="10"/>
      <c r="E25" s="10"/>
      <c r="F25" s="10"/>
      <c r="G25" s="10"/>
      <c r="H25" s="10"/>
    </row>
    <row r="26" ht="14.25" customHeight="1">
      <c r="A26" s="22">
        <v>60.0</v>
      </c>
      <c r="B26" s="23">
        <f>C15*((((((C15+C16)^2)/C15^2)-COS(A26/57.2958)^2))^0.5-SIN(A26/57.2958))</f>
        <v>570.5169161</v>
      </c>
      <c r="C26" s="10"/>
      <c r="D26" s="10"/>
      <c r="E26" s="10"/>
      <c r="F26" s="10"/>
      <c r="G26" s="10"/>
      <c r="H26" s="10"/>
    </row>
    <row r="27" ht="14.25" customHeight="1">
      <c r="A27" s="22">
        <v>70.0</v>
      </c>
      <c r="B27" s="23">
        <f>C15*((((((C15+C16)^2)/C15^2)-COS(A27/57.2958)^2))^0.5-SIN(A27/57.2958))</f>
        <v>529.5508219</v>
      </c>
      <c r="C27" s="10"/>
      <c r="D27" s="10"/>
      <c r="E27" s="10"/>
      <c r="F27" s="10"/>
      <c r="G27" s="10"/>
      <c r="H27" s="10"/>
    </row>
    <row r="28" ht="14.25" customHeight="1">
      <c r="A28" s="22">
        <v>80.0</v>
      </c>
      <c r="B28" s="23">
        <f>C15*((((((C15+C16)^2)/C15^2)-COS(A28/57.2958)^2))^0.5-SIN(A28/57.2958))</f>
        <v>507.1408522</v>
      </c>
      <c r="C28" s="10"/>
      <c r="D28" s="10"/>
      <c r="E28" s="10"/>
      <c r="F28" s="10"/>
      <c r="G28" s="10"/>
      <c r="H28" s="10"/>
    </row>
    <row r="29" ht="14.25" customHeight="1">
      <c r="A29" s="22">
        <v>90.0</v>
      </c>
      <c r="B29" s="23">
        <f>C15*((((((C15+C16)^2)/C15^2)-COS(A29/57.2958)^2))^0.5-SIN(A29/57.2958))</f>
        <v>500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G1"/>
    <mergeCell ref="A2:G3"/>
    <mergeCell ref="A5:G1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31.14"/>
    <col customWidth="1" min="3" max="3" width="13.0"/>
    <col customWidth="1" min="4" max="4" width="5.0"/>
    <col customWidth="1" min="5" max="5" width="20.43"/>
    <col customWidth="1" hidden="1" min="6" max="6" width="0.29"/>
    <col customWidth="1" hidden="1" min="7" max="7" width="16.57"/>
    <col customWidth="1" hidden="1" min="8" max="8" width="9.29"/>
    <col customWidth="1" min="9" max="9" width="10.29"/>
    <col customWidth="1" min="10" max="10" width="11.71"/>
    <col customWidth="1" min="11" max="11" width="14.29"/>
    <col customWidth="1" min="12" max="12" width="11.43"/>
    <col customWidth="1" min="13" max="13" width="14.0"/>
    <col customWidth="1" min="14" max="14" width="18.71"/>
    <col customWidth="1" min="15" max="15" width="19.86"/>
    <col customWidth="1" min="16" max="26" width="8.71"/>
  </cols>
  <sheetData>
    <row r="1" ht="14.25" customHeight="1">
      <c r="A1" s="1" t="s">
        <v>10</v>
      </c>
      <c r="B1" s="2"/>
      <c r="C1" s="2"/>
      <c r="D1" s="2"/>
      <c r="E1" s="3"/>
      <c r="F1" s="24"/>
      <c r="G1" s="24"/>
      <c r="H1" s="24"/>
      <c r="J1" s="25"/>
    </row>
    <row r="2" ht="14.25" customHeight="1">
      <c r="A2" s="26" t="s">
        <v>11</v>
      </c>
      <c r="B2" s="2"/>
      <c r="C2" s="2"/>
      <c r="D2" s="2"/>
      <c r="E2" s="3"/>
      <c r="F2" s="10"/>
      <c r="G2" s="10"/>
      <c r="H2" s="10"/>
      <c r="J2" s="25"/>
    </row>
    <row r="3" ht="14.25" customHeight="1">
      <c r="A3" s="27" t="s">
        <v>12</v>
      </c>
      <c r="B3" s="2"/>
      <c r="C3" s="2"/>
      <c r="D3" s="2"/>
      <c r="E3" s="3"/>
      <c r="J3" s="28" t="s">
        <v>13</v>
      </c>
      <c r="K3" s="29" t="s">
        <v>14</v>
      </c>
      <c r="L3" s="29" t="s">
        <v>15</v>
      </c>
      <c r="M3" s="28" t="s">
        <v>16</v>
      </c>
      <c r="N3" s="28" t="s">
        <v>17</v>
      </c>
      <c r="O3" s="29" t="s">
        <v>18</v>
      </c>
    </row>
    <row r="4" ht="14.25" customHeight="1">
      <c r="A4" s="30"/>
      <c r="B4" s="30" t="s">
        <v>19</v>
      </c>
      <c r="C4" s="17">
        <v>437.5</v>
      </c>
      <c r="D4" s="30" t="s">
        <v>20</v>
      </c>
      <c r="E4" s="30"/>
      <c r="J4" s="31">
        <v>0.0</v>
      </c>
      <c r="K4" s="31">
        <v>2574.4902408049647</v>
      </c>
      <c r="L4" s="32">
        <f>32.43+(20*(LOG(C4)+LOG(K4)))</f>
        <v>153.4633861</v>
      </c>
      <c r="M4" s="32">
        <f>5-140-1*(-C12-L4-SUM(C16:C20)-C24+C25-C26)</f>
        <v>24.46338614</v>
      </c>
      <c r="N4" s="32">
        <f t="shared" ref="N4:N13" si="1">M4-2.2</f>
        <v>22.26338614</v>
      </c>
      <c r="O4" s="32">
        <f t="shared" ref="O4:O13" si="2">10^(N4/10)</f>
        <v>168.3986534</v>
      </c>
    </row>
    <row r="5" ht="14.25" customHeight="1">
      <c r="A5" s="30"/>
      <c r="B5" s="30" t="s">
        <v>21</v>
      </c>
      <c r="C5" s="17">
        <v>815.0</v>
      </c>
      <c r="D5" s="30" t="s">
        <v>4</v>
      </c>
      <c r="E5" s="30" t="s">
        <v>22</v>
      </c>
      <c r="F5" s="33"/>
      <c r="J5" s="31">
        <v>10.0</v>
      </c>
      <c r="K5" s="31">
        <v>1695.0813802180376</v>
      </c>
      <c r="L5" s="32">
        <f>32.43+(20*(LOG(C4)+LOG(K5)))</f>
        <v>149.8333722</v>
      </c>
      <c r="M5" s="32">
        <f>5-140-1*(-C12-L5-SUM(C16:C20)-C24+C25-C26)</f>
        <v>20.83337221</v>
      </c>
      <c r="N5" s="32">
        <f t="shared" si="1"/>
        <v>18.63337221</v>
      </c>
      <c r="O5" s="32">
        <f t="shared" si="2"/>
        <v>73.00241401</v>
      </c>
    </row>
    <row r="6" ht="14.25" customHeight="1">
      <c r="A6" s="30"/>
      <c r="B6" s="34" t="s">
        <v>23</v>
      </c>
      <c r="C6" s="17">
        <v>14.0</v>
      </c>
      <c r="D6" s="30" t="s">
        <v>24</v>
      </c>
      <c r="E6" s="30"/>
      <c r="J6" s="31">
        <v>20.0</v>
      </c>
      <c r="K6" s="31">
        <v>1192.9883993489345</v>
      </c>
      <c r="L6" s="32">
        <f>32.43+(20*(LOG(C4)+LOG(K6)))</f>
        <v>146.7822856</v>
      </c>
      <c r="M6" s="32">
        <f>5-140-1*(-C12-L6-SUM(C16:C20)-C24+C25-C26)</f>
        <v>17.78228556</v>
      </c>
      <c r="N6" s="32">
        <f t="shared" si="1"/>
        <v>15.58228556</v>
      </c>
      <c r="O6" s="32">
        <f t="shared" si="2"/>
        <v>36.16001117</v>
      </c>
    </row>
    <row r="7" ht="14.25" customHeight="1">
      <c r="A7" s="30"/>
      <c r="B7" s="34"/>
      <c r="C7" s="19">
        <f>10*LOG(C6)</f>
        <v>11.46128036</v>
      </c>
      <c r="D7" s="30" t="s">
        <v>25</v>
      </c>
      <c r="E7" s="30"/>
      <c r="J7" s="31">
        <v>30.0</v>
      </c>
      <c r="K7" s="31">
        <v>909.5025169023806</v>
      </c>
      <c r="L7" s="32">
        <f>32.43+(20*(LOG(C4)+LOG(K7)))</f>
        <v>144.4256393</v>
      </c>
      <c r="M7" s="32">
        <f>5-140-1*(-C12-L7-SUM(C16:C20)-C24+C25-C26)</f>
        <v>15.42563925</v>
      </c>
      <c r="N7" s="32">
        <f t="shared" si="1"/>
        <v>13.22563925</v>
      </c>
      <c r="O7" s="32">
        <f t="shared" si="2"/>
        <v>21.01667097</v>
      </c>
    </row>
    <row r="8" ht="14.25" customHeight="1">
      <c r="A8" s="18"/>
      <c r="B8" s="18"/>
      <c r="C8" s="18"/>
      <c r="D8" s="18"/>
      <c r="E8" s="18"/>
      <c r="J8" s="31">
        <v>40.0</v>
      </c>
      <c r="K8" s="31">
        <v>741.3270424339267</v>
      </c>
      <c r="L8" s="32">
        <f>32.43+(20*(LOG(C4)+LOG(K8)))</f>
        <v>142.649758</v>
      </c>
      <c r="M8" s="32">
        <f>5-140-1*(-C12-L8-SUM(C16:C20)-C24+C25-C26)</f>
        <v>13.649758</v>
      </c>
      <c r="N8" s="32">
        <f t="shared" si="1"/>
        <v>11.449758</v>
      </c>
      <c r="O8" s="32">
        <f t="shared" si="2"/>
        <v>13.96290555</v>
      </c>
    </row>
    <row r="9" ht="14.25" customHeight="1">
      <c r="A9" s="18"/>
      <c r="B9" s="18"/>
      <c r="C9" s="18"/>
      <c r="D9" s="18"/>
      <c r="E9" s="18"/>
      <c r="J9" s="31">
        <v>50.0</v>
      </c>
      <c r="K9" s="31">
        <v>636.7902622458511</v>
      </c>
      <c r="L9" s="32">
        <f>32.43+(20*(LOG(C4)+LOG(K9)))</f>
        <v>141.3294894</v>
      </c>
      <c r="M9" s="32">
        <f>5-140-1*(-C12-L9-SUM(C16:C20)-C24+C25-C26)</f>
        <v>12.32948942</v>
      </c>
      <c r="N9" s="32">
        <f t="shared" si="1"/>
        <v>10.12948942</v>
      </c>
      <c r="O9" s="32">
        <f t="shared" si="2"/>
        <v>10.3026499</v>
      </c>
    </row>
    <row r="10" ht="14.25" customHeight="1">
      <c r="A10" s="35" t="s">
        <v>26</v>
      </c>
      <c r="B10" s="36" t="s">
        <v>27</v>
      </c>
      <c r="C10" s="17">
        <v>2.2</v>
      </c>
      <c r="D10" s="36" t="s">
        <v>28</v>
      </c>
      <c r="E10" s="36"/>
      <c r="J10" s="31">
        <v>60.0</v>
      </c>
      <c r="K10" s="31">
        <v>570.5169160618836</v>
      </c>
      <c r="L10" s="32">
        <f>32.43+(20*(LOG(C4)+LOG(K10)))</f>
        <v>140.3749317</v>
      </c>
      <c r="M10" s="32">
        <f>5-140-1*(-C12-L10-SUM(C16:C20)-C24+C25-C26)</f>
        <v>11.37493167</v>
      </c>
      <c r="N10" s="32">
        <f t="shared" si="1"/>
        <v>9.174931666</v>
      </c>
      <c r="O10" s="32">
        <f t="shared" si="2"/>
        <v>8.269764965</v>
      </c>
    </row>
    <row r="11" ht="14.25" customHeight="1">
      <c r="A11" s="37"/>
      <c r="B11" s="36" t="s">
        <v>29</v>
      </c>
      <c r="C11" s="19">
        <f>SUM(C7,C10)</f>
        <v>13.66128036</v>
      </c>
      <c r="D11" s="36" t="s">
        <v>25</v>
      </c>
      <c r="E11" s="36" t="s">
        <v>30</v>
      </c>
      <c r="J11" s="31">
        <v>70.0</v>
      </c>
      <c r="K11" s="31">
        <v>529.5508219374251</v>
      </c>
      <c r="L11" s="32">
        <f>32.43+(20*(LOG(C4)+LOG(K11)))</f>
        <v>139.7277141</v>
      </c>
      <c r="M11" s="32">
        <f>5-140-1*(-C12-L11-SUM(C16:C20)-C24+C25-C26)</f>
        <v>10.72771408</v>
      </c>
      <c r="N11" s="32">
        <f t="shared" si="1"/>
        <v>8.527714076</v>
      </c>
      <c r="O11" s="32">
        <f t="shared" si="2"/>
        <v>7.124779163</v>
      </c>
    </row>
    <row r="12" ht="14.25" customHeight="1">
      <c r="A12" s="38"/>
      <c r="B12" s="36" t="s">
        <v>31</v>
      </c>
      <c r="C12" s="17">
        <v>2.0</v>
      </c>
      <c r="D12" s="36" t="s">
        <v>32</v>
      </c>
      <c r="E12" s="36"/>
      <c r="J12" s="31">
        <v>80.0</v>
      </c>
      <c r="K12" s="31">
        <v>507.1408521764319</v>
      </c>
      <c r="L12" s="32">
        <f>32.43+(20*(LOG(C4)+LOG(K12)))</f>
        <v>139.3521331</v>
      </c>
      <c r="M12" s="32">
        <f>5-140-1*(-C12-L12-SUM(C16:C20)-C24+C25-C26)</f>
        <v>10.35213307</v>
      </c>
      <c r="N12" s="32">
        <f t="shared" si="1"/>
        <v>8.152133069</v>
      </c>
      <c r="O12" s="32">
        <f t="shared" si="2"/>
        <v>6.534514212</v>
      </c>
    </row>
    <row r="13" ht="14.25" customHeight="1">
      <c r="A13" s="18"/>
      <c r="B13" s="18"/>
      <c r="C13" s="18"/>
      <c r="D13" s="18"/>
      <c r="E13" s="18"/>
      <c r="J13" s="31">
        <v>90.0</v>
      </c>
      <c r="K13" s="31">
        <v>500.0000000000739</v>
      </c>
      <c r="L13" s="32">
        <f>32.43+(20*(LOG(C4)+LOG(K13)))</f>
        <v>139.2289612</v>
      </c>
      <c r="M13" s="32">
        <f>5-140-1*(-C12-L13-SUM(C16:C20)-C24+C25-C26)</f>
        <v>10.22896123</v>
      </c>
      <c r="N13" s="32">
        <f t="shared" si="1"/>
        <v>8.028961234</v>
      </c>
      <c r="O13" s="32">
        <f t="shared" si="2"/>
        <v>6.351789886</v>
      </c>
    </row>
    <row r="14" ht="14.25" customHeight="1">
      <c r="A14" s="18"/>
      <c r="B14" s="18"/>
      <c r="C14" s="18"/>
      <c r="D14" s="18"/>
      <c r="E14" s="18"/>
    </row>
    <row r="15" ht="14.25" customHeight="1">
      <c r="A15" s="39" t="s">
        <v>33</v>
      </c>
      <c r="B15" s="40" t="s">
        <v>34</v>
      </c>
      <c r="C15" s="19">
        <f>32.43+(20*(LOG(C4)+LOG(C5)))</f>
        <v>143.4727133</v>
      </c>
      <c r="D15" s="40" t="s">
        <v>32</v>
      </c>
      <c r="E15" s="40" t="s">
        <v>35</v>
      </c>
      <c r="N15" s="41" t="s">
        <v>36</v>
      </c>
    </row>
    <row r="16" ht="14.25" customHeight="1">
      <c r="A16" s="37"/>
      <c r="B16" s="40" t="s">
        <v>37</v>
      </c>
      <c r="C16" s="17">
        <v>1.0</v>
      </c>
      <c r="D16" s="40" t="s">
        <v>32</v>
      </c>
      <c r="E16" s="40"/>
    </row>
    <row r="17" ht="14.25" customHeight="1">
      <c r="A17" s="37"/>
      <c r="B17" s="40" t="s">
        <v>38</v>
      </c>
      <c r="C17" s="17">
        <v>1.0</v>
      </c>
      <c r="D17" s="40" t="s">
        <v>32</v>
      </c>
      <c r="E17" s="40"/>
    </row>
    <row r="18" ht="14.25" customHeight="1">
      <c r="A18" s="37"/>
      <c r="B18" s="40" t="s">
        <v>39</v>
      </c>
      <c r="C18" s="17">
        <v>2.0</v>
      </c>
      <c r="D18" s="40" t="s">
        <v>32</v>
      </c>
      <c r="E18" s="40"/>
    </row>
    <row r="19" ht="14.25" customHeight="1">
      <c r="A19" s="37"/>
      <c r="B19" s="40" t="s">
        <v>40</v>
      </c>
      <c r="C19" s="17">
        <v>1.0</v>
      </c>
      <c r="D19" s="40" t="s">
        <v>32</v>
      </c>
      <c r="E19" s="40"/>
    </row>
    <row r="20" ht="14.25" customHeight="1">
      <c r="A20" s="38"/>
      <c r="B20" s="40" t="s">
        <v>41</v>
      </c>
      <c r="C20" s="17">
        <v>0.0</v>
      </c>
      <c r="D20" s="40" t="s">
        <v>32</v>
      </c>
      <c r="E20" s="40"/>
    </row>
    <row r="21" ht="14.25" customHeight="1">
      <c r="A21" s="18"/>
      <c r="B21" s="18"/>
      <c r="C21" s="18"/>
      <c r="D21" s="18"/>
      <c r="E21" s="18"/>
    </row>
    <row r="22" ht="14.25" customHeight="1">
      <c r="A22" s="18"/>
      <c r="B22" s="18"/>
      <c r="C22" s="18"/>
      <c r="D22" s="18"/>
      <c r="E22" s="18"/>
    </row>
    <row r="23" ht="14.25" customHeight="1">
      <c r="A23" s="42" t="s">
        <v>42</v>
      </c>
      <c r="B23" s="43" t="s">
        <v>43</v>
      </c>
      <c r="C23" s="19">
        <f>C11-C12-SUM(C15:C20)</f>
        <v>-136.811433</v>
      </c>
      <c r="D23" s="43" t="s">
        <v>32</v>
      </c>
      <c r="E23" s="43" t="s">
        <v>44</v>
      </c>
    </row>
    <row r="24" ht="14.25" customHeight="1">
      <c r="A24" s="37"/>
      <c r="B24" s="43" t="s">
        <v>45</v>
      </c>
      <c r="C24" s="17">
        <v>0.2</v>
      </c>
      <c r="D24" s="43" t="s">
        <v>32</v>
      </c>
      <c r="E24" s="43"/>
    </row>
    <row r="25" ht="14.25" customHeight="1">
      <c r="A25" s="37"/>
      <c r="B25" s="43" t="s">
        <v>46</v>
      </c>
      <c r="C25" s="17">
        <v>2.2</v>
      </c>
      <c r="D25" s="43" t="s">
        <v>28</v>
      </c>
      <c r="E25" s="43"/>
    </row>
    <row r="26" ht="14.25" customHeight="1">
      <c r="A26" s="37"/>
      <c r="B26" s="43" t="s">
        <v>47</v>
      </c>
      <c r="C26" s="17">
        <v>1.0</v>
      </c>
      <c r="D26" s="43" t="s">
        <v>32</v>
      </c>
      <c r="E26" s="43"/>
    </row>
    <row r="27" ht="15.75" customHeight="1">
      <c r="A27" s="37"/>
      <c r="B27" s="43" t="s">
        <v>48</v>
      </c>
      <c r="C27" s="17">
        <v>-115.0</v>
      </c>
      <c r="D27" s="43" t="s">
        <v>49</v>
      </c>
      <c r="E27" s="43"/>
    </row>
    <row r="28" ht="14.25" customHeight="1">
      <c r="A28" s="37"/>
      <c r="B28" s="43" t="s">
        <v>48</v>
      </c>
      <c r="C28" s="19">
        <f>C27-30</f>
        <v>-145</v>
      </c>
      <c r="D28" s="43" t="s">
        <v>25</v>
      </c>
      <c r="E28" s="43"/>
    </row>
    <row r="29" ht="14.25" customHeight="1">
      <c r="A29" s="38"/>
      <c r="B29" s="43" t="s">
        <v>50</v>
      </c>
      <c r="C29" s="19">
        <f>C23-C24+C25-C26</f>
        <v>-135.811433</v>
      </c>
      <c r="D29" s="43"/>
      <c r="E29" s="43"/>
    </row>
    <row r="30" ht="14.25" customHeight="1">
      <c r="A30" s="44"/>
      <c r="B30" s="18"/>
      <c r="C30" s="18"/>
      <c r="D30" s="18"/>
      <c r="E30" s="18"/>
    </row>
    <row r="31" ht="14.25" customHeight="1">
      <c r="A31" s="18"/>
      <c r="B31" s="18"/>
      <c r="C31" s="18"/>
      <c r="D31" s="18"/>
      <c r="E31" s="18"/>
    </row>
    <row r="32" ht="14.25" customHeight="1">
      <c r="A32" s="45"/>
      <c r="B32" s="46" t="s">
        <v>51</v>
      </c>
      <c r="C32" s="19">
        <f>C29-C28</f>
        <v>9.188567035</v>
      </c>
      <c r="D32" s="46" t="s">
        <v>32</v>
      </c>
      <c r="E32" s="45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A1:E1"/>
    <mergeCell ref="J1:O1"/>
    <mergeCell ref="A2:E2"/>
    <mergeCell ref="J2:O2"/>
    <mergeCell ref="A3:E3"/>
    <mergeCell ref="A10:A12"/>
    <mergeCell ref="A15:A20"/>
    <mergeCell ref="A23:A29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8.57"/>
    <col customWidth="1" min="3" max="3" width="12.43"/>
    <col customWidth="1" min="4" max="4" width="9.57"/>
    <col customWidth="1" min="5" max="5" width="29.29"/>
    <col customWidth="1" min="6" max="26" width="8.71"/>
  </cols>
  <sheetData>
    <row r="1" ht="14.25" customHeight="1">
      <c r="A1" s="47" t="s">
        <v>52</v>
      </c>
      <c r="B1" s="2"/>
      <c r="C1" s="2"/>
      <c r="D1" s="2"/>
      <c r="E1" s="3"/>
    </row>
    <row r="2" ht="14.25" customHeight="1">
      <c r="A2" s="48" t="s">
        <v>12</v>
      </c>
      <c r="B2" s="2"/>
      <c r="C2" s="2"/>
      <c r="D2" s="2"/>
      <c r="E2" s="3"/>
    </row>
    <row r="3" ht="14.25" customHeight="1">
      <c r="A3" s="49"/>
      <c r="B3" s="50" t="s">
        <v>19</v>
      </c>
      <c r="C3" s="51">
        <v>437.5</v>
      </c>
      <c r="D3" s="52" t="s">
        <v>20</v>
      </c>
      <c r="E3" s="52"/>
    </row>
    <row r="4" ht="14.25" customHeight="1">
      <c r="A4" s="49"/>
      <c r="B4" s="50" t="s">
        <v>21</v>
      </c>
      <c r="C4" s="51">
        <v>815.0</v>
      </c>
      <c r="D4" s="52" t="s">
        <v>4</v>
      </c>
      <c r="E4" s="52" t="s">
        <v>53</v>
      </c>
    </row>
    <row r="5" ht="14.25" customHeight="1">
      <c r="A5" s="49"/>
      <c r="B5" s="53" t="s">
        <v>23</v>
      </c>
      <c r="C5" s="51">
        <v>14.0</v>
      </c>
      <c r="D5" s="52" t="s">
        <v>24</v>
      </c>
      <c r="E5" s="52" t="s">
        <v>54</v>
      </c>
    </row>
    <row r="6" ht="14.25" customHeight="1">
      <c r="A6" s="49"/>
      <c r="B6" s="38"/>
      <c r="C6" s="54">
        <f>10*LOG(C5)</f>
        <v>11.46128036</v>
      </c>
      <c r="D6" s="52" t="s">
        <v>25</v>
      </c>
      <c r="E6" s="52"/>
    </row>
    <row r="7" ht="14.25" customHeight="1">
      <c r="A7" s="55"/>
      <c r="B7" s="56"/>
      <c r="C7" s="55"/>
      <c r="D7" s="57"/>
      <c r="E7" s="57"/>
    </row>
    <row r="8" ht="14.25" customHeight="1">
      <c r="A8" s="55"/>
      <c r="B8" s="56"/>
      <c r="C8" s="55"/>
      <c r="D8" s="57"/>
      <c r="E8" s="57"/>
    </row>
    <row r="9" ht="14.25" customHeight="1">
      <c r="A9" s="58" t="s">
        <v>26</v>
      </c>
      <c r="B9" s="59" t="s">
        <v>27</v>
      </c>
      <c r="C9" s="51">
        <v>2.2</v>
      </c>
      <c r="D9" s="60" t="s">
        <v>28</v>
      </c>
      <c r="E9" s="60" t="s">
        <v>55</v>
      </c>
    </row>
    <row r="10" ht="14.25" customHeight="1">
      <c r="A10" s="58"/>
      <c r="B10" s="59" t="s">
        <v>29</v>
      </c>
      <c r="C10" s="54">
        <f>SUM(C6,C9)</f>
        <v>13.66128036</v>
      </c>
      <c r="D10" s="60" t="s">
        <v>25</v>
      </c>
      <c r="E10" s="60" t="s">
        <v>56</v>
      </c>
    </row>
    <row r="11" ht="14.25" customHeight="1">
      <c r="A11" s="58"/>
      <c r="B11" s="59" t="s">
        <v>31</v>
      </c>
      <c r="C11" s="51">
        <v>2.0</v>
      </c>
      <c r="D11" s="60" t="s">
        <v>32</v>
      </c>
      <c r="E11" s="60"/>
    </row>
    <row r="12" ht="14.25" customHeight="1">
      <c r="A12" s="55"/>
      <c r="B12" s="56"/>
      <c r="C12" s="55"/>
      <c r="D12" s="57"/>
      <c r="E12" s="57"/>
    </row>
    <row r="13" ht="14.25" customHeight="1">
      <c r="A13" s="55"/>
      <c r="B13" s="56"/>
      <c r="C13" s="55"/>
      <c r="D13" s="57"/>
      <c r="E13" s="57"/>
    </row>
    <row r="14" ht="14.25" customHeight="1">
      <c r="A14" s="61" t="s">
        <v>33</v>
      </c>
      <c r="B14" s="62" t="s">
        <v>34</v>
      </c>
      <c r="C14" s="54">
        <f>32.43+(20*(LOG(C3)+LOG(C4)))</f>
        <v>143.4727133</v>
      </c>
      <c r="D14" s="63" t="s">
        <v>32</v>
      </c>
      <c r="E14" s="63" t="s">
        <v>35</v>
      </c>
    </row>
    <row r="15" ht="14.25" customHeight="1">
      <c r="A15" s="37"/>
      <c r="B15" s="62" t="s">
        <v>37</v>
      </c>
      <c r="C15" s="51">
        <v>1.0</v>
      </c>
      <c r="D15" s="63" t="s">
        <v>32</v>
      </c>
      <c r="E15" s="63"/>
    </row>
    <row r="16" ht="14.25" customHeight="1">
      <c r="A16" s="37"/>
      <c r="B16" s="62" t="s">
        <v>38</v>
      </c>
      <c r="C16" s="51">
        <v>1.0</v>
      </c>
      <c r="D16" s="63" t="s">
        <v>32</v>
      </c>
      <c r="E16" s="63"/>
    </row>
    <row r="17" ht="14.25" customHeight="1">
      <c r="A17" s="37"/>
      <c r="B17" s="62" t="s">
        <v>39</v>
      </c>
      <c r="C17" s="51">
        <v>2.0</v>
      </c>
      <c r="D17" s="63" t="s">
        <v>32</v>
      </c>
      <c r="E17" s="63"/>
    </row>
    <row r="18" ht="14.25" customHeight="1">
      <c r="A18" s="37"/>
      <c r="B18" s="62" t="s">
        <v>40</v>
      </c>
      <c r="C18" s="51">
        <v>1.0</v>
      </c>
      <c r="D18" s="63" t="s">
        <v>32</v>
      </c>
      <c r="E18" s="63"/>
    </row>
    <row r="19" ht="14.25" customHeight="1">
      <c r="A19" s="38"/>
      <c r="B19" s="62" t="s">
        <v>41</v>
      </c>
      <c r="C19" s="51">
        <v>0.0</v>
      </c>
      <c r="D19" s="63" t="s">
        <v>32</v>
      </c>
      <c r="E19" s="63"/>
    </row>
    <row r="20" ht="14.25" customHeight="1">
      <c r="A20" s="55"/>
      <c r="B20" s="56"/>
      <c r="C20" s="55"/>
      <c r="D20" s="57"/>
      <c r="E20" s="57"/>
    </row>
    <row r="21" ht="14.25" customHeight="1">
      <c r="A21" s="55"/>
      <c r="B21" s="56"/>
      <c r="C21" s="55"/>
      <c r="D21" s="57"/>
      <c r="E21" s="57"/>
    </row>
    <row r="22" ht="14.25" customHeight="1">
      <c r="A22" s="64" t="s">
        <v>42</v>
      </c>
      <c r="B22" s="65" t="s">
        <v>43</v>
      </c>
      <c r="C22" s="54">
        <f>C10-C11-SUM(C14:C19)</f>
        <v>-136.811433</v>
      </c>
      <c r="D22" s="66" t="s">
        <v>32</v>
      </c>
      <c r="E22" s="66" t="s">
        <v>44</v>
      </c>
    </row>
    <row r="23" ht="14.25" customHeight="1">
      <c r="A23" s="37"/>
      <c r="B23" s="65" t="s">
        <v>45</v>
      </c>
      <c r="C23" s="51">
        <v>0.2</v>
      </c>
      <c r="D23" s="66" t="s">
        <v>32</v>
      </c>
      <c r="E23" s="66"/>
    </row>
    <row r="24" ht="14.25" customHeight="1">
      <c r="A24" s="37"/>
      <c r="B24" s="65" t="s">
        <v>46</v>
      </c>
      <c r="C24" s="51">
        <v>2.2</v>
      </c>
      <c r="D24" s="66" t="s">
        <v>28</v>
      </c>
      <c r="E24" s="66"/>
    </row>
    <row r="25" ht="14.25" customHeight="1">
      <c r="A25" s="37"/>
      <c r="B25" s="65" t="s">
        <v>47</v>
      </c>
      <c r="C25" s="51">
        <v>1.0</v>
      </c>
      <c r="D25" s="66" t="s">
        <v>32</v>
      </c>
      <c r="E25" s="66"/>
    </row>
    <row r="26" ht="14.25" customHeight="1">
      <c r="A26" s="37"/>
      <c r="B26" s="65" t="s">
        <v>57</v>
      </c>
      <c r="C26" s="51">
        <v>600.0</v>
      </c>
      <c r="D26" s="66" t="s">
        <v>58</v>
      </c>
      <c r="E26" s="66" t="s">
        <v>59</v>
      </c>
    </row>
    <row r="27" ht="14.25" customHeight="1">
      <c r="A27" s="37"/>
      <c r="B27" s="65" t="s">
        <v>60</v>
      </c>
      <c r="C27" s="54">
        <f>C24-C25-10*LOG(C26)</f>
        <v>-26.5815125</v>
      </c>
      <c r="D27" s="66" t="s">
        <v>61</v>
      </c>
      <c r="E27" s="66" t="s">
        <v>62</v>
      </c>
    </row>
    <row r="28" ht="14.25" customHeight="1">
      <c r="A28" s="37"/>
      <c r="B28" s="65" t="s">
        <v>63</v>
      </c>
      <c r="C28" s="54">
        <f>C22-C23+C24-C25</f>
        <v>-135.811433</v>
      </c>
      <c r="D28" s="66" t="s">
        <v>25</v>
      </c>
      <c r="E28" s="66" t="s">
        <v>64</v>
      </c>
    </row>
    <row r="29" ht="14.25" customHeight="1">
      <c r="A29" s="37"/>
      <c r="B29" s="65" t="s">
        <v>65</v>
      </c>
      <c r="C29" s="51">
        <v>2000.0</v>
      </c>
      <c r="D29" s="66" t="s">
        <v>66</v>
      </c>
      <c r="E29" s="66"/>
    </row>
    <row r="30" ht="14.25" customHeight="1">
      <c r="A30" s="37"/>
      <c r="B30" s="65" t="s">
        <v>67</v>
      </c>
      <c r="C30" s="66">
        <v>-228.6</v>
      </c>
      <c r="D30" s="66" t="s">
        <v>68</v>
      </c>
      <c r="E30" s="66"/>
    </row>
    <row r="31" ht="14.25" customHeight="1">
      <c r="A31" s="37"/>
      <c r="B31" s="65" t="s">
        <v>69</v>
      </c>
      <c r="C31" s="54">
        <f>C30+10*LOG(C26)+10*LOG(C29)</f>
        <v>-167.8081875</v>
      </c>
      <c r="D31" s="66" t="s">
        <v>25</v>
      </c>
      <c r="E31" s="66"/>
    </row>
    <row r="32" ht="14.25" customHeight="1">
      <c r="A32" s="37"/>
      <c r="B32" s="65" t="s">
        <v>70</v>
      </c>
      <c r="C32" s="54">
        <f>C28-C31</f>
        <v>31.99675457</v>
      </c>
      <c r="D32" s="66" t="s">
        <v>32</v>
      </c>
      <c r="E32" s="66"/>
    </row>
    <row r="33" ht="14.25" customHeight="1">
      <c r="A33" s="38"/>
      <c r="B33" s="65" t="s">
        <v>71</v>
      </c>
      <c r="C33" s="51">
        <v>12.8</v>
      </c>
      <c r="D33" s="66" t="s">
        <v>32</v>
      </c>
      <c r="E33" s="66"/>
    </row>
    <row r="34" ht="14.25" customHeight="1">
      <c r="A34" s="55"/>
      <c r="B34" s="56"/>
      <c r="C34" s="55"/>
      <c r="D34" s="57"/>
      <c r="E34" s="57"/>
    </row>
    <row r="35" ht="14.25" customHeight="1">
      <c r="A35" s="55"/>
      <c r="B35" s="56"/>
      <c r="C35" s="55"/>
      <c r="D35" s="57"/>
      <c r="E35" s="57"/>
    </row>
    <row r="36" ht="14.25" customHeight="1">
      <c r="A36" s="67"/>
      <c r="B36" s="68" t="s">
        <v>51</v>
      </c>
      <c r="C36" s="69">
        <f>C32-C33</f>
        <v>19.19675457</v>
      </c>
      <c r="D36" s="70" t="s">
        <v>32</v>
      </c>
      <c r="E36" s="70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A1:E1"/>
    <mergeCell ref="A2:E2"/>
    <mergeCell ref="B5:B6"/>
    <mergeCell ref="A14:A19"/>
    <mergeCell ref="A22:A3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71"/>
    <col customWidth="1" min="3" max="3" width="9.86"/>
    <col customWidth="1" min="4" max="4" width="10.14"/>
    <col customWidth="1" min="5" max="5" width="9.71"/>
    <col customWidth="1" min="6" max="6" width="5.14"/>
    <col customWidth="1" min="7" max="7" width="26.71"/>
    <col customWidth="1" min="8" max="26" width="8.71"/>
  </cols>
  <sheetData>
    <row r="1" ht="14.25" customHeight="1">
      <c r="A1" s="71" t="s">
        <v>72</v>
      </c>
      <c r="B1" s="2"/>
      <c r="C1" s="2"/>
      <c r="D1" s="2"/>
      <c r="E1" s="2"/>
      <c r="F1" s="2"/>
      <c r="G1" s="3"/>
    </row>
    <row r="2" ht="14.25" customHeight="1">
      <c r="A2" s="72" t="s">
        <v>12</v>
      </c>
      <c r="B2" s="2"/>
      <c r="C2" s="2"/>
      <c r="D2" s="2"/>
      <c r="E2" s="2"/>
      <c r="F2" s="2"/>
      <c r="G2" s="3"/>
    </row>
    <row r="3" ht="14.25" customHeight="1">
      <c r="A3" s="73"/>
      <c r="B3" s="74" t="s">
        <v>19</v>
      </c>
      <c r="C3" s="75">
        <v>437.5</v>
      </c>
      <c r="D3" s="30"/>
      <c r="E3" s="76"/>
      <c r="F3" s="74" t="s">
        <v>20</v>
      </c>
      <c r="G3" s="74"/>
    </row>
    <row r="4" ht="14.25" customHeight="1">
      <c r="A4" s="37"/>
      <c r="B4" s="74" t="s">
        <v>73</v>
      </c>
      <c r="C4" s="75">
        <v>500.0</v>
      </c>
      <c r="D4" s="30"/>
      <c r="E4" s="76"/>
      <c r="F4" s="74" t="s">
        <v>4</v>
      </c>
      <c r="G4" s="74"/>
    </row>
    <row r="5" ht="14.25" customHeight="1">
      <c r="A5" s="37"/>
      <c r="B5" s="74" t="s">
        <v>13</v>
      </c>
      <c r="C5" s="77">
        <v>30.0</v>
      </c>
      <c r="D5" s="30"/>
      <c r="E5" s="76"/>
      <c r="F5" s="74" t="s">
        <v>74</v>
      </c>
      <c r="G5" s="74"/>
    </row>
    <row r="6" ht="27.0" customHeight="1">
      <c r="A6" s="37"/>
      <c r="B6" s="74" t="s">
        <v>21</v>
      </c>
      <c r="C6" s="75">
        <f>6378*((((((6378+C4)^2)/6378^2)-COS(C5/57.2958)^2))^0.5-SIN(C5/57.2958))</f>
        <v>909.5025169</v>
      </c>
      <c r="D6" s="30"/>
      <c r="E6" s="76"/>
      <c r="F6" s="74" t="s">
        <v>4</v>
      </c>
      <c r="G6" s="74"/>
    </row>
    <row r="7" ht="14.25" customHeight="1">
      <c r="A7" s="37"/>
      <c r="B7" s="78" t="s">
        <v>23</v>
      </c>
      <c r="C7" s="75">
        <v>0.1</v>
      </c>
      <c r="D7" s="30"/>
      <c r="E7" s="79"/>
      <c r="F7" s="74" t="s">
        <v>24</v>
      </c>
      <c r="G7" s="74" t="s">
        <v>54</v>
      </c>
    </row>
    <row r="8" ht="14.25" customHeight="1">
      <c r="A8" s="38"/>
      <c r="B8" s="38"/>
      <c r="C8" s="75">
        <f>10*LOG10(C7)</f>
        <v>-10</v>
      </c>
      <c r="D8" s="30"/>
      <c r="E8" s="76"/>
      <c r="F8" s="74" t="s">
        <v>25</v>
      </c>
      <c r="G8" s="74"/>
    </row>
    <row r="9" ht="14.25" customHeight="1">
      <c r="A9" s="80"/>
      <c r="B9" s="80"/>
      <c r="C9" s="80"/>
      <c r="E9" s="80"/>
      <c r="F9" s="80"/>
      <c r="G9" s="81"/>
    </row>
    <row r="10" ht="14.25" customHeight="1">
      <c r="A10" s="82" t="s">
        <v>42</v>
      </c>
      <c r="B10" s="83" t="s">
        <v>46</v>
      </c>
      <c r="C10" s="84">
        <v>2.2</v>
      </c>
      <c r="D10" s="85"/>
      <c r="E10" s="86"/>
      <c r="F10" s="83" t="s">
        <v>28</v>
      </c>
      <c r="G10" s="87"/>
    </row>
    <row r="11" ht="14.25" customHeight="1">
      <c r="A11" s="37"/>
      <c r="B11" s="83" t="s">
        <v>47</v>
      </c>
      <c r="C11" s="84">
        <v>1.0</v>
      </c>
      <c r="D11" s="85"/>
      <c r="E11" s="86"/>
      <c r="F11" s="83" t="s">
        <v>32</v>
      </c>
      <c r="G11" s="87"/>
    </row>
    <row r="12" ht="14.25" customHeight="1">
      <c r="A12" s="38"/>
      <c r="B12" s="83" t="s">
        <v>75</v>
      </c>
      <c r="C12" s="84">
        <f>C8+C10-C11</f>
        <v>-8.8</v>
      </c>
      <c r="D12" s="85"/>
      <c r="E12" s="88"/>
      <c r="F12" s="83"/>
      <c r="G12" s="83" t="s">
        <v>76</v>
      </c>
    </row>
    <row r="13" ht="14.25" customHeight="1">
      <c r="A13" s="80"/>
      <c r="B13" s="80"/>
      <c r="C13" s="80"/>
      <c r="D13" s="80"/>
      <c r="E13" s="80"/>
      <c r="F13" s="80"/>
      <c r="G13" s="81"/>
    </row>
    <row r="14" ht="14.25" customHeight="1">
      <c r="A14" s="80"/>
      <c r="B14" s="80"/>
      <c r="C14" s="89" t="s">
        <v>77</v>
      </c>
      <c r="D14" s="90" t="s">
        <v>78</v>
      </c>
      <c r="E14" s="91" t="s">
        <v>79</v>
      </c>
      <c r="F14" s="80"/>
      <c r="G14" s="81"/>
    </row>
    <row r="15" ht="14.25" customHeight="1">
      <c r="A15" s="92" t="s">
        <v>80</v>
      </c>
      <c r="B15" s="93" t="s">
        <v>34</v>
      </c>
      <c r="C15" s="94">
        <f>32.43+(20*(LOG10(C3)+LOG10(C6)))</f>
        <v>144.4256393</v>
      </c>
      <c r="D15" s="90">
        <f>32.43+(20*(LOG10(C3)+LOG10(C6)))</f>
        <v>144.4256393</v>
      </c>
      <c r="E15" s="91">
        <f>32.43+(20*(LOG10(C3)+LOG10(C6)))</f>
        <v>144.4256393</v>
      </c>
      <c r="F15" s="93" t="s">
        <v>32</v>
      </c>
      <c r="G15" s="95" t="s">
        <v>35</v>
      </c>
    </row>
    <row r="16" ht="14.25" customHeight="1">
      <c r="A16" s="37"/>
      <c r="B16" s="93" t="s">
        <v>37</v>
      </c>
      <c r="C16" s="89">
        <v>1.0</v>
      </c>
      <c r="D16" s="90">
        <v>1.0</v>
      </c>
      <c r="E16" s="91">
        <v>1.0</v>
      </c>
      <c r="F16" s="93" t="s">
        <v>32</v>
      </c>
      <c r="G16" s="95"/>
    </row>
    <row r="17" ht="14.25" customHeight="1">
      <c r="A17" s="37"/>
      <c r="B17" s="93" t="s">
        <v>38</v>
      </c>
      <c r="C17" s="89">
        <v>1.0</v>
      </c>
      <c r="D17" s="90">
        <v>1.0</v>
      </c>
      <c r="E17" s="91">
        <v>1.0</v>
      </c>
      <c r="F17" s="93" t="s">
        <v>32</v>
      </c>
      <c r="G17" s="95"/>
    </row>
    <row r="18" ht="14.25" customHeight="1">
      <c r="A18" s="37"/>
      <c r="B18" s="93" t="s">
        <v>39</v>
      </c>
      <c r="C18" s="89">
        <v>2.0</v>
      </c>
      <c r="D18" s="90">
        <v>2.0</v>
      </c>
      <c r="E18" s="91">
        <v>2.0</v>
      </c>
      <c r="F18" s="93" t="s">
        <v>32</v>
      </c>
      <c r="G18" s="95"/>
    </row>
    <row r="19" ht="14.25" customHeight="1">
      <c r="A19" s="37"/>
      <c r="B19" s="93" t="s">
        <v>40</v>
      </c>
      <c r="C19" s="89">
        <v>1.0</v>
      </c>
      <c r="D19" s="90">
        <v>1.0</v>
      </c>
      <c r="E19" s="91">
        <v>1.0</v>
      </c>
      <c r="F19" s="93" t="s">
        <v>32</v>
      </c>
      <c r="G19" s="95"/>
    </row>
    <row r="20" ht="14.25" customHeight="1">
      <c r="A20" s="38"/>
      <c r="B20" s="93" t="s">
        <v>41</v>
      </c>
      <c r="C20" s="89">
        <v>0.0</v>
      </c>
      <c r="D20" s="90">
        <v>0.0</v>
      </c>
      <c r="E20" s="91">
        <v>0.0</v>
      </c>
      <c r="F20" s="93" t="s">
        <v>32</v>
      </c>
      <c r="G20" s="95"/>
    </row>
    <row r="21" ht="14.25" customHeight="1">
      <c r="A21" s="80"/>
      <c r="B21" s="80"/>
      <c r="C21" s="80"/>
      <c r="D21" s="80"/>
      <c r="E21" s="80"/>
      <c r="F21" s="80"/>
      <c r="G21" s="81"/>
    </row>
    <row r="22" ht="14.25" customHeight="1">
      <c r="A22" s="80"/>
      <c r="B22" s="80"/>
      <c r="C22" s="80"/>
      <c r="D22" s="80"/>
      <c r="E22" s="80"/>
      <c r="F22" s="80"/>
      <c r="G22" s="81"/>
    </row>
    <row r="23" ht="14.25" customHeight="1">
      <c r="A23" s="96" t="s">
        <v>81</v>
      </c>
      <c r="B23" s="97" t="s">
        <v>82</v>
      </c>
      <c r="C23" s="89">
        <f>C12-C15-SUM(C16:C20)</f>
        <v>-158.2256393</v>
      </c>
      <c r="D23" s="90">
        <f>C12-D15-SUM(D16:D20)</f>
        <v>-158.2256393</v>
      </c>
      <c r="E23" s="91">
        <f>C12-E15-SUM(E16:E20)</f>
        <v>-158.2256393</v>
      </c>
      <c r="F23" s="97" t="s">
        <v>32</v>
      </c>
      <c r="G23" s="98" t="s">
        <v>44</v>
      </c>
    </row>
    <row r="24" ht="14.25" customHeight="1">
      <c r="A24" s="37"/>
      <c r="B24" s="97" t="s">
        <v>83</v>
      </c>
      <c r="C24" s="89">
        <v>0.2</v>
      </c>
      <c r="D24" s="90">
        <v>0.2</v>
      </c>
      <c r="E24" s="91">
        <v>0.2</v>
      </c>
      <c r="F24" s="97" t="s">
        <v>32</v>
      </c>
      <c r="G24" s="98"/>
    </row>
    <row r="25" ht="14.25" customHeight="1">
      <c r="A25" s="37"/>
      <c r="B25" s="97" t="s">
        <v>84</v>
      </c>
      <c r="C25" s="89">
        <v>12.0</v>
      </c>
      <c r="D25" s="90">
        <v>12.0</v>
      </c>
      <c r="E25" s="91">
        <v>12.0</v>
      </c>
      <c r="F25" s="97" t="s">
        <v>32</v>
      </c>
      <c r="G25" s="98"/>
    </row>
    <row r="26" ht="14.25" customHeight="1">
      <c r="A26" s="37"/>
      <c r="B26" s="97" t="s">
        <v>85</v>
      </c>
      <c r="C26" s="89">
        <v>2.0</v>
      </c>
      <c r="D26" s="90">
        <v>2.0</v>
      </c>
      <c r="E26" s="91">
        <v>2.0</v>
      </c>
      <c r="F26" s="97" t="s">
        <v>32</v>
      </c>
      <c r="G26" s="98"/>
    </row>
    <row r="27" ht="27.0" customHeight="1">
      <c r="A27" s="37"/>
      <c r="B27" s="97" t="s">
        <v>86</v>
      </c>
      <c r="C27" s="89">
        <v>635.0</v>
      </c>
      <c r="D27" s="90">
        <v>635.0</v>
      </c>
      <c r="E27" s="91">
        <v>635.0</v>
      </c>
      <c r="F27" s="97" t="s">
        <v>58</v>
      </c>
      <c r="G27" s="98"/>
    </row>
    <row r="28" ht="30.0" customHeight="1">
      <c r="A28" s="37"/>
      <c r="B28" s="97" t="s">
        <v>87</v>
      </c>
      <c r="C28" s="89">
        <f t="shared" ref="C28:E28" si="1">C25-C24-C26-(10*LOG(C27))</f>
        <v>-18.22773725</v>
      </c>
      <c r="D28" s="90">
        <f t="shared" si="1"/>
        <v>-18.22773725</v>
      </c>
      <c r="E28" s="91">
        <f t="shared" si="1"/>
        <v>-18.22773725</v>
      </c>
      <c r="F28" s="97" t="s">
        <v>61</v>
      </c>
      <c r="G28" s="98" t="s">
        <v>88</v>
      </c>
    </row>
    <row r="29" ht="28.5" customHeight="1">
      <c r="A29" s="37"/>
      <c r="B29" s="97" t="s">
        <v>63</v>
      </c>
      <c r="C29" s="89">
        <f t="shared" ref="C29:E29" si="2">C23+C25-C24-C26</f>
        <v>-148.4256393</v>
      </c>
      <c r="D29" s="90">
        <f t="shared" si="2"/>
        <v>-148.4256393</v>
      </c>
      <c r="E29" s="91">
        <f t="shared" si="2"/>
        <v>-148.4256393</v>
      </c>
      <c r="F29" s="97" t="s">
        <v>25</v>
      </c>
      <c r="G29" s="98" t="s">
        <v>89</v>
      </c>
    </row>
    <row r="30" ht="14.25" customHeight="1">
      <c r="A30" s="37"/>
      <c r="B30" s="97" t="s">
        <v>67</v>
      </c>
      <c r="C30" s="89">
        <v>-228.6</v>
      </c>
      <c r="D30" s="90">
        <v>-228.6</v>
      </c>
      <c r="E30" s="91">
        <v>-228.6</v>
      </c>
      <c r="F30" s="97" t="s">
        <v>68</v>
      </c>
      <c r="G30" s="98"/>
    </row>
    <row r="31" ht="14.25" customHeight="1">
      <c r="A31" s="37"/>
      <c r="B31" s="97" t="s">
        <v>90</v>
      </c>
      <c r="C31" s="89">
        <v>2000.0</v>
      </c>
      <c r="D31" s="90">
        <v>500.0</v>
      </c>
      <c r="E31" s="91">
        <v>515.0</v>
      </c>
      <c r="F31" s="97" t="s">
        <v>66</v>
      </c>
      <c r="G31" s="98"/>
    </row>
    <row r="32" ht="14.25" customHeight="1">
      <c r="A32" s="37"/>
      <c r="B32" s="97" t="s">
        <v>91</v>
      </c>
      <c r="C32" s="89">
        <f t="shared" ref="C32:E32" si="3">C30+10*LOG10(C27)+10*LOG10(C31)</f>
        <v>-167.5619628</v>
      </c>
      <c r="D32" s="90">
        <f t="shared" si="3"/>
        <v>-173.5825627</v>
      </c>
      <c r="E32" s="91">
        <f t="shared" si="3"/>
        <v>-173.4541905</v>
      </c>
      <c r="F32" s="97" t="s">
        <v>25</v>
      </c>
      <c r="G32" s="98" t="s">
        <v>92</v>
      </c>
    </row>
    <row r="33" ht="14.25" customHeight="1">
      <c r="A33" s="37"/>
      <c r="B33" s="97" t="s">
        <v>93</v>
      </c>
      <c r="C33" s="89">
        <f t="shared" ref="C33:E33" si="4">C29-C32</f>
        <v>19.13632354</v>
      </c>
      <c r="D33" s="90">
        <f t="shared" si="4"/>
        <v>25.15692345</v>
      </c>
      <c r="E33" s="91">
        <f t="shared" si="4"/>
        <v>25.0285512</v>
      </c>
      <c r="F33" s="97" t="s">
        <v>32</v>
      </c>
      <c r="G33" s="98" t="s">
        <v>94</v>
      </c>
    </row>
    <row r="34" ht="14.25" customHeight="1">
      <c r="A34" s="38"/>
      <c r="B34" s="97" t="s">
        <v>71</v>
      </c>
      <c r="C34" s="89">
        <v>12.8</v>
      </c>
      <c r="D34" s="90">
        <v>10.0</v>
      </c>
      <c r="E34" s="91">
        <v>10.0</v>
      </c>
      <c r="F34" s="97" t="s">
        <v>32</v>
      </c>
      <c r="G34" s="98"/>
    </row>
    <row r="35" ht="14.25" customHeight="1">
      <c r="A35" s="80"/>
      <c r="B35" s="80"/>
      <c r="C35" s="80"/>
      <c r="D35" s="80"/>
      <c r="E35" s="80"/>
      <c r="F35" s="80"/>
      <c r="G35" s="81"/>
    </row>
    <row r="36" ht="14.25" customHeight="1">
      <c r="A36" s="99"/>
      <c r="B36" s="99" t="s">
        <v>51</v>
      </c>
      <c r="C36" s="89">
        <f t="shared" ref="C36:E36" si="5">C33-C34</f>
        <v>6.336323538</v>
      </c>
      <c r="D36" s="90">
        <f t="shared" si="5"/>
        <v>15.15692345</v>
      </c>
      <c r="E36" s="91">
        <f t="shared" si="5"/>
        <v>15.0285512</v>
      </c>
      <c r="F36" s="99" t="s">
        <v>32</v>
      </c>
      <c r="G36" s="100"/>
    </row>
    <row r="37" ht="14.25" customHeight="1">
      <c r="A37" s="101"/>
      <c r="B37" s="101"/>
      <c r="C37" s="101"/>
      <c r="D37" s="101"/>
      <c r="E37" s="101"/>
      <c r="F37" s="101"/>
      <c r="G37" s="102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G1"/>
    <mergeCell ref="A2:G2"/>
    <mergeCell ref="A3:A8"/>
    <mergeCell ref="B7:B8"/>
    <mergeCell ref="A10:A12"/>
    <mergeCell ref="A15:A20"/>
    <mergeCell ref="A23:A3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