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 activeTab="1"/>
  </bookViews>
  <sheets>
    <sheet name="Sheet1" sheetId="1" r:id="rId1"/>
    <sheet name="Sheet2" sheetId="2" r:id="rId2"/>
  </sheets>
  <calcPr calcId="144525"/>
  <extLst>
    <ext uri="GoogleSheetsCustomDataVersion2">
      <go:sheetsCustomData xmlns:go="http://customooxmlschemas.google.com/" r:id="" roundtripDataChecksum="sqNKbzxmpm+ALuqCCAXFXpcQqIkhR5/1F9hrf49SexU="/>
    </ext>
  </extLst>
</workbook>
</file>

<file path=xl/calcChain.xml><?xml version="1.0" encoding="utf-8"?>
<calcChain xmlns="http://schemas.openxmlformats.org/spreadsheetml/2006/main">
  <c r="I12" i="2" l="1"/>
  <c r="F17" i="2" l="1"/>
  <c r="F23" i="2" l="1"/>
  <c r="H23" i="2" s="1"/>
  <c r="I23" i="2" s="1"/>
  <c r="D23" i="2"/>
  <c r="F21" i="2"/>
  <c r="H21" i="2" s="1"/>
  <c r="D21" i="2"/>
  <c r="F11" i="2"/>
  <c r="H11" i="2" s="1"/>
  <c r="D11" i="2"/>
  <c r="F19" i="2"/>
  <c r="H19" i="2" s="1"/>
  <c r="F20" i="2"/>
  <c r="H20" i="2" s="1"/>
  <c r="D19" i="2"/>
  <c r="D20" i="2"/>
  <c r="F25" i="2"/>
  <c r="H25" i="2" s="1"/>
  <c r="D25" i="2"/>
  <c r="F24" i="2"/>
  <c r="H24" i="2" s="1"/>
  <c r="D24" i="2"/>
  <c r="F22" i="2"/>
  <c r="H22" i="2" s="1"/>
  <c r="D22" i="2"/>
  <c r="F18" i="2"/>
  <c r="H18" i="2" s="1"/>
  <c r="D18" i="2"/>
  <c r="H17" i="2"/>
  <c r="C17" i="2"/>
  <c r="D17" i="2" s="1"/>
  <c r="I15" i="1"/>
  <c r="G15" i="1"/>
  <c r="E15" i="1"/>
  <c r="C15" i="1"/>
  <c r="G34" i="1"/>
  <c r="E35" i="1"/>
  <c r="E34" i="1"/>
  <c r="E36" i="1" s="1"/>
  <c r="C36" i="1"/>
  <c r="D36" i="1"/>
  <c r="F36" i="1"/>
  <c r="G36" i="1"/>
  <c r="H36" i="1"/>
  <c r="I36" i="1"/>
  <c r="B36" i="1"/>
  <c r="B34" i="1"/>
  <c r="D10" i="2"/>
  <c r="F8" i="2"/>
  <c r="H8" i="2" s="1"/>
  <c r="F9" i="2"/>
  <c r="H9" i="2" s="1"/>
  <c r="F10" i="2"/>
  <c r="H10" i="2" s="1"/>
  <c r="F7" i="2"/>
  <c r="H7" i="2" s="1"/>
  <c r="D7" i="2"/>
  <c r="D8" i="2"/>
  <c r="D9" i="2"/>
  <c r="F6" i="2"/>
  <c r="H6" i="2" s="1"/>
  <c r="C6" i="2"/>
  <c r="D6" i="2" s="1"/>
  <c r="I19" i="2" l="1"/>
  <c r="I11" i="2"/>
  <c r="I20" i="2"/>
  <c r="I6" i="2"/>
  <c r="I21" i="2"/>
  <c r="I9" i="2"/>
  <c r="I18" i="2"/>
  <c r="I8" i="2"/>
  <c r="I22" i="2"/>
  <c r="I24" i="2"/>
  <c r="I7" i="2"/>
  <c r="I17" i="2"/>
  <c r="I25" i="2"/>
  <c r="I10" i="2"/>
  <c r="E31" i="1"/>
  <c r="H22" i="1"/>
  <c r="F22" i="1"/>
  <c r="D22" i="1"/>
  <c r="B22" i="1"/>
  <c r="I30" i="1"/>
  <c r="G30" i="1"/>
  <c r="E30" i="1"/>
  <c r="C30" i="1"/>
  <c r="H29" i="1"/>
  <c r="H31" i="1" s="1"/>
  <c r="F29" i="1"/>
  <c r="G29" i="1" s="1"/>
  <c r="D29" i="1"/>
  <c r="E29" i="1" s="1"/>
  <c r="B29" i="1"/>
  <c r="C29" i="1" s="1"/>
  <c r="H35" i="1"/>
  <c r="I35" i="1" s="1"/>
  <c r="F35" i="1"/>
  <c r="D35" i="1"/>
  <c r="B35" i="1"/>
  <c r="I34" i="1"/>
  <c r="G26" i="1"/>
  <c r="G27" i="1"/>
  <c r="G28" i="1"/>
  <c r="G35" i="1"/>
  <c r="E26" i="1"/>
  <c r="E27" i="1"/>
  <c r="E28" i="1"/>
  <c r="I11" i="1"/>
  <c r="G11" i="1"/>
  <c r="B60" i="1"/>
  <c r="J43" i="1"/>
  <c r="I28" i="1"/>
  <c r="I27" i="1"/>
  <c r="I26" i="1"/>
  <c r="I21" i="1"/>
  <c r="G21" i="1"/>
  <c r="K39" i="1"/>
  <c r="K43" i="1" s="1"/>
  <c r="I39" i="1"/>
  <c r="G39" i="1"/>
  <c r="C39" i="1"/>
  <c r="I10" i="1"/>
  <c r="G10" i="1"/>
  <c r="I20" i="1"/>
  <c r="G20" i="1"/>
  <c r="I19" i="1"/>
  <c r="G19" i="1"/>
  <c r="I18" i="1"/>
  <c r="G18" i="1"/>
  <c r="I9" i="1"/>
  <c r="G9" i="1"/>
  <c r="H8" i="1"/>
  <c r="H12" i="1" s="1"/>
  <c r="F8" i="1"/>
  <c r="D8" i="1"/>
  <c r="D12" i="1" s="1"/>
  <c r="B8" i="1"/>
  <c r="B12" i="1" s="1"/>
  <c r="I7" i="1"/>
  <c r="G7" i="1"/>
  <c r="I6" i="1"/>
  <c r="G6" i="1"/>
  <c r="S2" i="1"/>
  <c r="C11" i="1" s="1"/>
  <c r="I27" i="2" l="1"/>
  <c r="E11" i="1"/>
  <c r="G31" i="1"/>
  <c r="G22" i="1"/>
  <c r="I22" i="1"/>
  <c r="B31" i="1"/>
  <c r="I29" i="1"/>
  <c r="I31" i="1" s="1"/>
  <c r="D43" i="1"/>
  <c r="F12" i="1"/>
  <c r="F43" i="1" s="1"/>
  <c r="F31" i="1"/>
  <c r="H43" i="1"/>
  <c r="C27" i="1"/>
  <c r="C8" i="1"/>
  <c r="C28" i="1"/>
  <c r="C35" i="1"/>
  <c r="C10" i="1"/>
  <c r="C34" i="1"/>
  <c r="E8" i="1"/>
  <c r="B43" i="1"/>
  <c r="E10" i="1"/>
  <c r="C9" i="1"/>
  <c r="E6" i="1"/>
  <c r="C21" i="1"/>
  <c r="I8" i="1"/>
  <c r="C6" i="1"/>
  <c r="E9" i="1"/>
  <c r="C7" i="1"/>
  <c r="C20" i="1"/>
  <c r="C19" i="1"/>
  <c r="E7" i="1"/>
  <c r="E21" i="1"/>
  <c r="C18" i="1"/>
  <c r="E39" i="1"/>
  <c r="E19" i="1"/>
  <c r="E20" i="1"/>
  <c r="C26" i="1"/>
  <c r="G8" i="1"/>
  <c r="E18" i="1"/>
  <c r="C22" i="1" l="1"/>
  <c r="E12" i="1"/>
  <c r="D31" i="1"/>
  <c r="C31" i="1"/>
  <c r="I12" i="1"/>
  <c r="I43" i="1" s="1"/>
  <c r="B54" i="1" s="1"/>
  <c r="B56" i="1" s="1"/>
  <c r="B58" i="1" s="1"/>
  <c r="B64" i="1" s="1"/>
  <c r="B65" i="1" s="1"/>
  <c r="E22" i="1"/>
  <c r="E43" i="1" s="1"/>
  <c r="C12" i="1"/>
  <c r="C43" i="1" s="1"/>
  <c r="G12" i="1"/>
  <c r="G43" i="1" s="1"/>
</calcChain>
</file>

<file path=xl/sharedStrings.xml><?xml version="1.0" encoding="utf-8"?>
<sst xmlns="http://schemas.openxmlformats.org/spreadsheetml/2006/main" count="124" uniqueCount="89">
  <si>
    <t>Power Budget</t>
  </si>
  <si>
    <t>v</t>
  </si>
  <si>
    <t>V</t>
  </si>
  <si>
    <t>Part</t>
  </si>
  <si>
    <t>Idle Mode</t>
  </si>
  <si>
    <t>Transmit Mode</t>
  </si>
  <si>
    <t>Receive Mode</t>
  </si>
  <si>
    <t>Camera Mode</t>
  </si>
  <si>
    <t>Deployment</t>
  </si>
  <si>
    <t>I (mA)</t>
  </si>
  <si>
    <t>P (mW)</t>
  </si>
  <si>
    <t>P(mW)</t>
  </si>
  <si>
    <t>Current(mA)</t>
  </si>
  <si>
    <t>Power (mW)</t>
  </si>
  <si>
    <t>Current</t>
  </si>
  <si>
    <t>Power</t>
  </si>
  <si>
    <t>ATMEGA328</t>
  </si>
  <si>
    <t>MAX6369</t>
  </si>
  <si>
    <t>TPS2553</t>
  </si>
  <si>
    <t>I=0.14mA at Rlim=20k</t>
  </si>
  <si>
    <t>Two used so *2</t>
  </si>
  <si>
    <t>8 Mhz Crystal</t>
  </si>
  <si>
    <t>SPV1040</t>
  </si>
  <si>
    <t>INA219</t>
  </si>
  <si>
    <t>Antenna Deployment</t>
  </si>
  <si>
    <t>Arducam-2MP Camera</t>
  </si>
  <si>
    <t>stm32f103 at 8 mhz</t>
  </si>
  <si>
    <t>W25Q512JVFIQ</t>
  </si>
  <si>
    <t>Total</t>
  </si>
  <si>
    <t>Battery Capacity</t>
  </si>
  <si>
    <t>Idle Mode Power</t>
  </si>
  <si>
    <t>mW</t>
  </si>
  <si>
    <t>Eclipse per orbit</t>
  </si>
  <si>
    <t>mins</t>
  </si>
  <si>
    <t>Battery Energy in eclipse</t>
  </si>
  <si>
    <t>mWH</t>
  </si>
  <si>
    <t>Efficiency of battery</t>
  </si>
  <si>
    <t>%</t>
  </si>
  <si>
    <t>Battery Capacity Requirement</t>
  </si>
  <si>
    <t>Number of orbits per day</t>
  </si>
  <si>
    <t>Num of charging per year</t>
  </si>
  <si>
    <t>Mission Life</t>
  </si>
  <si>
    <t>year</t>
  </si>
  <si>
    <t>DoD Required</t>
  </si>
  <si>
    <t>Margin</t>
  </si>
  <si>
    <t>Battery Capacity Installed</t>
  </si>
  <si>
    <t>Battery Capacity in mAH</t>
  </si>
  <si>
    <t>mAH</t>
  </si>
  <si>
    <t>Fig 2: Fig 2: DoD vs Lithium Ion Battery Cycle</t>
  </si>
  <si>
    <t>Fig 1: Antenna Deployment Calculation</t>
  </si>
  <si>
    <t>The DoD is calculated from graph in Figure 2</t>
  </si>
  <si>
    <t>RF4463F30</t>
  </si>
  <si>
    <t>MB85RC256VPF-G-JNERE2</t>
  </si>
  <si>
    <t>LSM6DS0</t>
  </si>
  <si>
    <t>TMP100</t>
  </si>
  <si>
    <t>TL1963A-33DCQT</t>
  </si>
  <si>
    <t>TEMT6000</t>
  </si>
  <si>
    <t>OPA320AIDBVT</t>
  </si>
  <si>
    <t>OBC</t>
  </si>
  <si>
    <t>EPS</t>
  </si>
  <si>
    <t>Payload</t>
  </si>
  <si>
    <t>PANELS</t>
  </si>
  <si>
    <t>total</t>
  </si>
  <si>
    <t>sanosat-2</t>
  </si>
  <si>
    <t>cw tx at 20dBm</t>
  </si>
  <si>
    <t>image/ gfsk: 30dBm</t>
  </si>
  <si>
    <t>Voltage [V]</t>
  </si>
  <si>
    <t>Current [mA]</t>
  </si>
  <si>
    <t>Power [mW]</t>
  </si>
  <si>
    <t>COM</t>
  </si>
  <si>
    <t>Period [sec]</t>
  </si>
  <si>
    <t>Period [hrs]</t>
  </si>
  <si>
    <t>Repeat1 Orbit</t>
  </si>
  <si>
    <t>Total operating time in 1 Orbit</t>
  </si>
  <si>
    <t>Energy Consumed [mWh]</t>
  </si>
  <si>
    <t>Active Period Idle Mode</t>
  </si>
  <si>
    <t>Sun Sensors</t>
  </si>
  <si>
    <t>Electrical Characteristics</t>
  </si>
  <si>
    <t>COM @CW</t>
  </si>
  <si>
    <t>COM @ GFSK 1</t>
  </si>
  <si>
    <t>COM GFSK 2[ Image]</t>
  </si>
  <si>
    <t>SUBYSYSTEM/ Mission</t>
  </si>
  <si>
    <t>SUBSYSTEM/ Mission</t>
  </si>
  <si>
    <t>COM Receive</t>
  </si>
  <si>
    <t>Active Period Normal Mode</t>
  </si>
  <si>
    <t>Camera Click</t>
  </si>
  <si>
    <t>Shut Down Payload during Idle Mode</t>
  </si>
  <si>
    <t>SANOSAT 2</t>
  </si>
  <si>
    <t>1kbps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</si>
</sst>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3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4" borderId="1" xfId="0" applyFont="1" applyFill="1" applyBorder="1"/>
    <xf numFmtId="0" fontId="0" fillId="0" borderId="2" xfId="0" applyBorder="1"/>
    <xf numFmtId="0" fontId="5" fillId="0" borderId="2" xfId="0" applyFont="1" applyBorder="1"/>
    <xf numFmtId="0" fontId="5" fillId="0" borderId="0" xfId="0" applyFont="1" applyAlignment="1"/>
    <xf numFmtId="0" fontId="6" fillId="0" borderId="0" xfId="0" applyFont="1"/>
    <xf numFmtId="0" fontId="0" fillId="5" borderId="2" xfId="0" applyFill="1" applyBorder="1"/>
    <xf numFmtId="0" fontId="5" fillId="5" borderId="2" xfId="0" applyFont="1" applyFill="1" applyBorder="1"/>
    <xf numFmtId="0" fontId="0" fillId="6" borderId="2" xfId="0" applyFill="1" applyBorder="1"/>
    <xf numFmtId="0" fontId="5" fillId="6" borderId="2" xfId="0" applyFont="1" applyFill="1" applyBorder="1"/>
    <xf numFmtId="0" fontId="0" fillId="7" borderId="2" xfId="0" applyFill="1" applyBorder="1"/>
    <xf numFmtId="0" fontId="5" fillId="7" borderId="2" xfId="0" applyFont="1" applyFill="1" applyBorder="1"/>
    <xf numFmtId="0" fontId="0" fillId="8" borderId="2" xfId="0" applyFill="1" applyBorder="1"/>
    <xf numFmtId="0" fontId="5" fillId="8" borderId="2" xfId="0" applyFont="1" applyFill="1" applyBorder="1"/>
    <xf numFmtId="0" fontId="0" fillId="0" borderId="0" xfId="0" applyFont="1" applyAlignment="1"/>
    <xf numFmtId="0" fontId="0" fillId="0" borderId="2" xfId="0" applyBorder="1"/>
    <xf numFmtId="0" fontId="5" fillId="0" borderId="2" xfId="0" applyFont="1" applyBorder="1"/>
    <xf numFmtId="0" fontId="1" fillId="0" borderId="0" xfId="0" applyFont="1" applyAlignment="1"/>
    <xf numFmtId="0" fontId="1" fillId="0" borderId="2" xfId="0" applyFont="1" applyBorder="1"/>
    <xf numFmtId="0" fontId="8" fillId="0" borderId="0" xfId="0" applyFont="1" applyAlignment="1"/>
    <xf numFmtId="0" fontId="7" fillId="0" borderId="3" xfId="0" applyFont="1" applyBorder="1" applyAlignment="1"/>
    <xf numFmtId="0" fontId="8" fillId="0" borderId="4" xfId="0" applyFont="1" applyBorder="1" applyAlignment="1"/>
    <xf numFmtId="0" fontId="8" fillId="0" borderId="5" xfId="0" applyFont="1" applyBorder="1" applyAlignment="1"/>
    <xf numFmtId="0" fontId="8" fillId="0" borderId="6" xfId="0" applyFont="1" applyBorder="1" applyAlignment="1"/>
    <xf numFmtId="0" fontId="8" fillId="0" borderId="7" xfId="0" applyFont="1" applyBorder="1" applyAlignment="1"/>
    <xf numFmtId="0" fontId="8" fillId="0" borderId="2" xfId="0" applyFont="1" applyBorder="1" applyAlignment="1"/>
    <xf numFmtId="0" fontId="8" fillId="0" borderId="8" xfId="0" applyFont="1" applyBorder="1" applyAlignment="1"/>
    <xf numFmtId="0" fontId="8" fillId="0" borderId="9" xfId="0" applyFont="1" applyBorder="1" applyAlignment="1"/>
    <xf numFmtId="0" fontId="8" fillId="0" borderId="10" xfId="0" applyFont="1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7" fillId="0" borderId="12" xfId="0" applyFont="1" applyBorder="1" applyAlignment="1"/>
    <xf numFmtId="0" fontId="5" fillId="0" borderId="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5" fillId="0" borderId="2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53</xdr:row>
      <xdr:rowOff>0</xdr:rowOff>
    </xdr:from>
    <xdr:ext cx="2600325" cy="3257550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24275" y="8486775"/>
          <a:ext cx="2600325" cy="3257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0"/>
  <sheetViews>
    <sheetView topLeftCell="A16" zoomScale="148" zoomScaleNormal="148" workbookViewId="0">
      <selection activeCell="B33" sqref="B33"/>
    </sheetView>
  </sheetViews>
  <sheetFormatPr defaultColWidth="14.42578125" defaultRowHeight="15" customHeight="1" x14ac:dyDescent="0.25"/>
  <cols>
    <col min="1" max="1" width="21" customWidth="1"/>
    <col min="2" max="2" width="9.42578125" customWidth="1"/>
    <col min="3" max="3" width="10.28515625" customWidth="1"/>
    <col min="4" max="4" width="8.85546875" customWidth="1"/>
    <col min="5" max="5" width="9.7109375" customWidth="1"/>
    <col min="6" max="6" width="9.28515625" customWidth="1"/>
    <col min="7" max="7" width="10.7109375" customWidth="1"/>
    <col min="8" max="8" width="13.28515625" customWidth="1"/>
    <col min="9" max="9" width="14.7109375" customWidth="1"/>
    <col min="10" max="10" width="11.42578125" customWidth="1"/>
    <col min="11" max="11" width="9.7109375" customWidth="1"/>
    <col min="12" max="12" width="8.7109375" customWidth="1"/>
    <col min="13" max="13" width="25.140625" customWidth="1"/>
    <col min="14" max="18" width="8.7109375" customWidth="1"/>
    <col min="19" max="19" width="5.5703125" customWidth="1"/>
    <col min="20" max="20" width="23.42578125" customWidth="1"/>
    <col min="21" max="21" width="16" customWidth="1"/>
    <col min="22" max="26" width="8.7109375" customWidth="1"/>
  </cols>
  <sheetData>
    <row r="1" spans="1:20" x14ac:dyDescent="0.25">
      <c r="A1" s="6"/>
      <c r="B1" s="6"/>
      <c r="C1" s="6"/>
      <c r="D1" s="6"/>
      <c r="E1" s="40" t="s">
        <v>63</v>
      </c>
      <c r="F1" s="41"/>
      <c r="G1" s="41"/>
      <c r="H1" s="6"/>
      <c r="I1" s="6"/>
      <c r="J1" s="6"/>
      <c r="K1" s="6"/>
      <c r="L1" s="6"/>
    </row>
    <row r="2" spans="1:20" s="8" customFormat="1" x14ac:dyDescent="0.25">
      <c r="A2" s="7"/>
      <c r="B2" s="7"/>
      <c r="C2" s="7"/>
      <c r="D2" s="7"/>
      <c r="E2" s="42" t="s">
        <v>0</v>
      </c>
      <c r="F2" s="42"/>
      <c r="G2" s="42"/>
      <c r="H2" s="7"/>
      <c r="I2" s="7"/>
      <c r="J2" s="7"/>
      <c r="K2" s="7"/>
      <c r="L2" s="7"/>
      <c r="R2" s="9" t="s">
        <v>1</v>
      </c>
      <c r="S2" s="9">
        <f>3.3</f>
        <v>3.3</v>
      </c>
      <c r="T2" s="9" t="s">
        <v>2</v>
      </c>
    </row>
    <row r="3" spans="1:20" s="8" customFormat="1" x14ac:dyDescent="0.25">
      <c r="A3" s="7" t="s">
        <v>3</v>
      </c>
      <c r="B3" s="36" t="s">
        <v>4</v>
      </c>
      <c r="C3" s="36"/>
      <c r="D3" s="36" t="s">
        <v>5</v>
      </c>
      <c r="E3" s="36"/>
      <c r="F3" s="36" t="s">
        <v>6</v>
      </c>
      <c r="G3" s="36"/>
      <c r="H3" s="36" t="s">
        <v>7</v>
      </c>
      <c r="I3" s="36"/>
      <c r="J3" s="36" t="s">
        <v>8</v>
      </c>
      <c r="K3" s="36"/>
      <c r="L3" s="7"/>
    </row>
    <row r="4" spans="1:20" s="8" customFormat="1" x14ac:dyDescent="0.25">
      <c r="A4" s="7"/>
      <c r="B4" s="7" t="s">
        <v>9</v>
      </c>
      <c r="C4" s="7" t="s">
        <v>10</v>
      </c>
      <c r="D4" s="7" t="s">
        <v>9</v>
      </c>
      <c r="E4" s="7" t="s">
        <v>11</v>
      </c>
      <c r="F4" s="7" t="s">
        <v>9</v>
      </c>
      <c r="G4" s="7" t="s">
        <v>10</v>
      </c>
      <c r="H4" s="7" t="s">
        <v>12</v>
      </c>
      <c r="I4" s="7" t="s">
        <v>13</v>
      </c>
      <c r="J4" s="7" t="s">
        <v>14</v>
      </c>
      <c r="K4" s="7" t="s">
        <v>15</v>
      </c>
      <c r="L4" s="7"/>
    </row>
    <row r="5" spans="1:20" x14ac:dyDescent="0.25">
      <c r="A5" s="7" t="s">
        <v>58</v>
      </c>
      <c r="B5" s="12"/>
      <c r="C5" s="12"/>
      <c r="D5" s="14"/>
      <c r="E5" s="14"/>
      <c r="F5" s="16"/>
      <c r="G5" s="16"/>
      <c r="H5" s="10"/>
      <c r="I5" s="10"/>
      <c r="J5" s="6"/>
      <c r="K5" s="6"/>
      <c r="L5" s="6"/>
    </row>
    <row r="6" spans="1:20" x14ac:dyDescent="0.25">
      <c r="A6" s="6" t="s">
        <v>16</v>
      </c>
      <c r="B6" s="12">
        <v>63.4</v>
      </c>
      <c r="C6" s="12">
        <f>B6*S2</f>
        <v>209.21999999999997</v>
      </c>
      <c r="D6" s="14">
        <v>63.4</v>
      </c>
      <c r="E6" s="14">
        <f>S2*D6</f>
        <v>209.21999999999997</v>
      </c>
      <c r="F6" s="16">
        <v>63.4</v>
      </c>
      <c r="G6" s="16">
        <f t="shared" ref="G6:G20" si="0">F6*3.3</f>
        <v>209.21999999999997</v>
      </c>
      <c r="H6" s="10">
        <v>63.4</v>
      </c>
      <c r="I6" s="10">
        <f t="shared" ref="I6:I20" si="1">H6*3.3</f>
        <v>209.21999999999997</v>
      </c>
      <c r="J6" s="6"/>
      <c r="K6" s="6"/>
      <c r="L6" s="6"/>
    </row>
    <row r="7" spans="1:20" x14ac:dyDescent="0.25">
      <c r="A7" s="6" t="s">
        <v>17</v>
      </c>
      <c r="B7" s="12">
        <v>8.0000000000000002E-3</v>
      </c>
      <c r="C7" s="12">
        <f>B7*S2</f>
        <v>2.64E-2</v>
      </c>
      <c r="D7" s="14">
        <v>8.0000000000000002E-3</v>
      </c>
      <c r="E7" s="14">
        <f>S2*D7</f>
        <v>2.64E-2</v>
      </c>
      <c r="F7" s="16">
        <v>8.0000000000000002E-3</v>
      </c>
      <c r="G7" s="16">
        <f t="shared" si="0"/>
        <v>2.64E-2</v>
      </c>
      <c r="H7" s="10">
        <v>8.0000000000000002E-3</v>
      </c>
      <c r="I7" s="10">
        <f t="shared" si="1"/>
        <v>2.64E-2</v>
      </c>
      <c r="J7" s="6"/>
      <c r="K7" s="6"/>
      <c r="L7" s="6"/>
    </row>
    <row r="8" spans="1:20" x14ac:dyDescent="0.25">
      <c r="A8" s="6" t="s">
        <v>18</v>
      </c>
      <c r="B8" s="12">
        <f>0.14*2</f>
        <v>0.28000000000000003</v>
      </c>
      <c r="C8" s="12">
        <f>B8*S2</f>
        <v>0.92400000000000004</v>
      </c>
      <c r="D8" s="14">
        <f>0.14*2</f>
        <v>0.28000000000000003</v>
      </c>
      <c r="E8" s="14">
        <f>S2*D8</f>
        <v>0.92400000000000004</v>
      </c>
      <c r="F8" s="16">
        <f>0.14*2</f>
        <v>0.28000000000000003</v>
      </c>
      <c r="G8" s="16">
        <f t="shared" si="0"/>
        <v>0.92400000000000004</v>
      </c>
      <c r="H8" s="10">
        <f>0.14*2</f>
        <v>0.28000000000000003</v>
      </c>
      <c r="I8" s="10">
        <f t="shared" si="1"/>
        <v>0.92400000000000004</v>
      </c>
      <c r="J8" s="6"/>
      <c r="K8" s="6"/>
      <c r="L8" s="6"/>
      <c r="M8" s="1" t="s">
        <v>19</v>
      </c>
      <c r="N8" s="1" t="s">
        <v>20</v>
      </c>
    </row>
    <row r="9" spans="1:20" x14ac:dyDescent="0.25">
      <c r="A9" s="6" t="s">
        <v>21</v>
      </c>
      <c r="B9" s="12">
        <v>3.6</v>
      </c>
      <c r="C9" s="12">
        <f>B9*S2</f>
        <v>11.879999999999999</v>
      </c>
      <c r="D9" s="14">
        <v>3.6</v>
      </c>
      <c r="E9" s="14">
        <f>S2*D9</f>
        <v>11.879999999999999</v>
      </c>
      <c r="F9" s="16">
        <v>3.6</v>
      </c>
      <c r="G9" s="16">
        <f t="shared" si="0"/>
        <v>11.879999999999999</v>
      </c>
      <c r="H9" s="10">
        <v>3.6</v>
      </c>
      <c r="I9" s="10">
        <f t="shared" si="1"/>
        <v>11.879999999999999</v>
      </c>
      <c r="J9" s="6"/>
      <c r="K9" s="6"/>
      <c r="L9" s="6"/>
    </row>
    <row r="10" spans="1:20" x14ac:dyDescent="0.25">
      <c r="A10" s="6" t="s">
        <v>52</v>
      </c>
      <c r="B10" s="12">
        <v>0.2</v>
      </c>
      <c r="C10" s="12">
        <f>B10*S2</f>
        <v>0.66</v>
      </c>
      <c r="D10" s="14">
        <v>0.2</v>
      </c>
      <c r="E10" s="14">
        <f>S2*D10</f>
        <v>0.66</v>
      </c>
      <c r="F10" s="16">
        <v>0.2</v>
      </c>
      <c r="G10" s="16">
        <f>F10*3.3</f>
        <v>0.66</v>
      </c>
      <c r="H10" s="10">
        <v>0.2</v>
      </c>
      <c r="I10" s="10">
        <f>H10*3.3</f>
        <v>0.66</v>
      </c>
      <c r="J10" s="6"/>
      <c r="K10" s="6"/>
      <c r="L10" s="6"/>
      <c r="M10" s="37"/>
      <c r="N10" s="38"/>
    </row>
    <row r="11" spans="1:20" x14ac:dyDescent="0.25">
      <c r="A11" s="6" t="s">
        <v>53</v>
      </c>
      <c r="B11" s="12">
        <v>1.8</v>
      </c>
      <c r="C11" s="12">
        <f>B11*S2</f>
        <v>5.9399999999999995</v>
      </c>
      <c r="D11" s="14">
        <v>1.8</v>
      </c>
      <c r="E11" s="14">
        <f>S2*D11</f>
        <v>5.9399999999999995</v>
      </c>
      <c r="F11" s="16">
        <v>1.8</v>
      </c>
      <c r="G11" s="16">
        <f>F11*3.3</f>
        <v>5.9399999999999995</v>
      </c>
      <c r="H11" s="10">
        <v>1.8</v>
      </c>
      <c r="I11" s="10">
        <f>H11*3.3</f>
        <v>5.9399999999999995</v>
      </c>
      <c r="J11" s="6"/>
      <c r="K11" s="6"/>
      <c r="L11" s="6"/>
      <c r="M11" s="38"/>
      <c r="N11" s="38"/>
    </row>
    <row r="12" spans="1:20" s="8" customFormat="1" x14ac:dyDescent="0.25">
      <c r="A12" s="7" t="s">
        <v>28</v>
      </c>
      <c r="B12" s="13">
        <f t="shared" ref="B12:I12" si="2">SUM(B6:B11)</f>
        <v>69.287999999999997</v>
      </c>
      <c r="C12" s="13">
        <f t="shared" si="2"/>
        <v>228.65039999999996</v>
      </c>
      <c r="D12" s="15">
        <f t="shared" si="2"/>
        <v>69.287999999999997</v>
      </c>
      <c r="E12" s="15">
        <f t="shared" si="2"/>
        <v>228.65039999999996</v>
      </c>
      <c r="F12" s="17">
        <f t="shared" si="2"/>
        <v>69.287999999999997</v>
      </c>
      <c r="G12" s="17">
        <f t="shared" si="2"/>
        <v>228.65039999999996</v>
      </c>
      <c r="H12" s="11">
        <f t="shared" si="2"/>
        <v>69.287999999999997</v>
      </c>
      <c r="I12" s="11">
        <f t="shared" si="2"/>
        <v>228.65039999999996</v>
      </c>
      <c r="J12" s="7"/>
      <c r="K12" s="7"/>
      <c r="L12" s="7"/>
    </row>
    <row r="13" spans="1:2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20" s="18" customFormat="1" x14ac:dyDescent="0.25">
      <c r="A14" s="20" t="s">
        <v>69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20" x14ac:dyDescent="0.25">
      <c r="A15" s="6" t="s">
        <v>51</v>
      </c>
      <c r="B15" s="12">
        <v>3.0000000000000001E-3</v>
      </c>
      <c r="C15" s="12">
        <f>B15*4.2</f>
        <v>1.26E-2</v>
      </c>
      <c r="D15" s="14">
        <v>550</v>
      </c>
      <c r="E15" s="14">
        <f>4.2*D15</f>
        <v>2310</v>
      </c>
      <c r="F15" s="16">
        <v>13.3</v>
      </c>
      <c r="G15" s="16">
        <f>F15*4.2</f>
        <v>55.860000000000007</v>
      </c>
      <c r="H15" s="10">
        <v>3.0000000000000001E-3</v>
      </c>
      <c r="I15" s="10">
        <f>H15*4.2</f>
        <v>1.26E-2</v>
      </c>
      <c r="J15" s="6"/>
      <c r="K15" s="6"/>
      <c r="L15" s="6"/>
    </row>
    <row r="16" spans="1:20" s="18" customForma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4" x14ac:dyDescent="0.25">
      <c r="A17" s="7" t="s">
        <v>59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t="s">
        <v>64</v>
      </c>
    </row>
    <row r="18" spans="1:14" x14ac:dyDescent="0.25">
      <c r="A18" s="6" t="s">
        <v>22</v>
      </c>
      <c r="B18" s="12">
        <v>0.08</v>
      </c>
      <c r="C18" s="12">
        <f>B18*S2</f>
        <v>0.26400000000000001</v>
      </c>
      <c r="D18" s="14">
        <v>0.08</v>
      </c>
      <c r="E18" s="14">
        <f>S2*D18</f>
        <v>0.26400000000000001</v>
      </c>
      <c r="F18" s="16">
        <v>0.08</v>
      </c>
      <c r="G18" s="16">
        <f t="shared" si="0"/>
        <v>0.26400000000000001</v>
      </c>
      <c r="H18" s="10">
        <v>0.08</v>
      </c>
      <c r="I18" s="10">
        <f t="shared" si="1"/>
        <v>0.26400000000000001</v>
      </c>
      <c r="J18" s="6"/>
      <c r="K18" s="6"/>
      <c r="L18" s="6"/>
      <c r="M18" t="s">
        <v>65</v>
      </c>
    </row>
    <row r="19" spans="1:14" x14ac:dyDescent="0.25">
      <c r="A19" s="6" t="s">
        <v>23</v>
      </c>
      <c r="B19" s="12">
        <v>1</v>
      </c>
      <c r="C19" s="12">
        <f>B19*S2</f>
        <v>3.3</v>
      </c>
      <c r="D19" s="14">
        <v>1</v>
      </c>
      <c r="E19" s="14">
        <f>S2*D19</f>
        <v>3.3</v>
      </c>
      <c r="F19" s="16">
        <v>1</v>
      </c>
      <c r="G19" s="16">
        <f t="shared" si="0"/>
        <v>3.3</v>
      </c>
      <c r="H19" s="10">
        <v>1</v>
      </c>
      <c r="I19" s="10">
        <f t="shared" si="1"/>
        <v>3.3</v>
      </c>
      <c r="J19" s="6"/>
      <c r="K19" s="6"/>
      <c r="L19" s="6"/>
    </row>
    <row r="20" spans="1:14" x14ac:dyDescent="0.25">
      <c r="A20" s="6" t="s">
        <v>55</v>
      </c>
      <c r="B20" s="12">
        <v>1</v>
      </c>
      <c r="C20" s="12">
        <f>B20*S2</f>
        <v>3.3</v>
      </c>
      <c r="D20" s="14">
        <v>1</v>
      </c>
      <c r="E20" s="14">
        <f>S2*D20</f>
        <v>3.3</v>
      </c>
      <c r="F20" s="16">
        <v>1</v>
      </c>
      <c r="G20" s="16">
        <f t="shared" si="0"/>
        <v>3.3</v>
      </c>
      <c r="H20" s="10">
        <v>1</v>
      </c>
      <c r="I20" s="10">
        <f t="shared" si="1"/>
        <v>3.3</v>
      </c>
      <c r="J20" s="6"/>
      <c r="K20" s="6"/>
      <c r="L20" s="6"/>
    </row>
    <row r="21" spans="1:14" x14ac:dyDescent="0.25">
      <c r="A21" s="6" t="s">
        <v>54</v>
      </c>
      <c r="B21" s="12">
        <v>4.4999999999999997E-3</v>
      </c>
      <c r="C21" s="12">
        <f>B21*$S$2</f>
        <v>1.4849999999999999E-2</v>
      </c>
      <c r="D21" s="14">
        <v>1E-3</v>
      </c>
      <c r="E21" s="14">
        <f>S2*D21</f>
        <v>3.3E-3</v>
      </c>
      <c r="F21" s="16">
        <v>1E-3</v>
      </c>
      <c r="G21" s="16">
        <f>F21*3.3</f>
        <v>3.3E-3</v>
      </c>
      <c r="H21" s="10">
        <v>1.5</v>
      </c>
      <c r="I21" s="10">
        <f>H21*3.3</f>
        <v>4.9499999999999993</v>
      </c>
      <c r="J21" s="6"/>
      <c r="K21" s="6"/>
      <c r="L21" s="6"/>
    </row>
    <row r="22" spans="1:14" s="8" customFormat="1" x14ac:dyDescent="0.25">
      <c r="A22" s="7" t="s">
        <v>62</v>
      </c>
      <c r="B22" s="13">
        <f t="shared" ref="B22:I22" si="3">SUM(B18:B21)</f>
        <v>2.0845000000000002</v>
      </c>
      <c r="C22" s="13">
        <f t="shared" si="3"/>
        <v>6.8788499999999999</v>
      </c>
      <c r="D22" s="15">
        <f t="shared" si="3"/>
        <v>2.081</v>
      </c>
      <c r="E22" s="15">
        <f t="shared" si="3"/>
        <v>6.8673000000000002</v>
      </c>
      <c r="F22" s="17">
        <f t="shared" si="3"/>
        <v>2.081</v>
      </c>
      <c r="G22" s="17">
        <f t="shared" si="3"/>
        <v>6.8673000000000002</v>
      </c>
      <c r="H22" s="11">
        <f t="shared" si="3"/>
        <v>3.58</v>
      </c>
      <c r="I22" s="11">
        <f t="shared" si="3"/>
        <v>11.814</v>
      </c>
      <c r="J22" s="7"/>
      <c r="K22" s="7"/>
      <c r="L22" s="7"/>
    </row>
    <row r="23" spans="1:14" ht="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4" ht="15" customHeight="1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4" x14ac:dyDescent="0.25">
      <c r="A25" s="7" t="s">
        <v>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4" x14ac:dyDescent="0.25">
      <c r="A26" s="6" t="s">
        <v>25</v>
      </c>
      <c r="B26" s="12">
        <v>30</v>
      </c>
      <c r="C26" s="12">
        <f t="shared" ref="C26:C35" si="4">B26*$S$2</f>
        <v>99</v>
      </c>
      <c r="D26" s="14"/>
      <c r="E26" s="14">
        <f>S4*D26</f>
        <v>0</v>
      </c>
      <c r="F26" s="16"/>
      <c r="G26" s="16">
        <f t="shared" ref="G26:G35" si="5">F26*3.3</f>
        <v>0</v>
      </c>
      <c r="H26" s="10">
        <v>106</v>
      </c>
      <c r="I26" s="10">
        <f t="shared" ref="I26:I35" si="6">H26*3.3</f>
        <v>349.79999999999995</v>
      </c>
      <c r="J26" s="6"/>
      <c r="K26" s="6"/>
      <c r="L26" s="6"/>
    </row>
    <row r="27" spans="1:14" ht="15.75" customHeight="1" x14ac:dyDescent="0.25">
      <c r="A27" s="6" t="s">
        <v>26</v>
      </c>
      <c r="B27" s="12">
        <v>4</v>
      </c>
      <c r="C27" s="12">
        <f t="shared" si="4"/>
        <v>13.2</v>
      </c>
      <c r="D27" s="14"/>
      <c r="E27" s="14">
        <f>S6*D27</f>
        <v>0</v>
      </c>
      <c r="F27" s="16"/>
      <c r="G27" s="16">
        <f t="shared" si="5"/>
        <v>0</v>
      </c>
      <c r="H27" s="10">
        <v>7.1</v>
      </c>
      <c r="I27" s="10">
        <f t="shared" si="6"/>
        <v>23.429999999999996</v>
      </c>
      <c r="J27" s="6"/>
      <c r="K27" s="6"/>
      <c r="L27" s="6"/>
    </row>
    <row r="28" spans="1:14" ht="15.75" customHeight="1" x14ac:dyDescent="0.25">
      <c r="A28" s="6" t="s">
        <v>27</v>
      </c>
      <c r="B28" s="12">
        <v>1</v>
      </c>
      <c r="C28" s="12">
        <f t="shared" si="4"/>
        <v>3.3</v>
      </c>
      <c r="D28" s="14"/>
      <c r="E28" s="14">
        <f>S15*D28</f>
        <v>0</v>
      </c>
      <c r="F28" s="16"/>
      <c r="G28" s="16">
        <f t="shared" si="5"/>
        <v>0</v>
      </c>
      <c r="H28" s="10">
        <v>5</v>
      </c>
      <c r="I28" s="10">
        <f t="shared" si="6"/>
        <v>16.5</v>
      </c>
      <c r="J28" s="6"/>
      <c r="K28" s="6"/>
      <c r="L28" s="6"/>
    </row>
    <row r="29" spans="1:14" x14ac:dyDescent="0.25">
      <c r="A29" s="6" t="s">
        <v>18</v>
      </c>
      <c r="B29" s="12">
        <f>0.14*2</f>
        <v>0.28000000000000003</v>
      </c>
      <c r="C29" s="12">
        <f>B29*S22</f>
        <v>0</v>
      </c>
      <c r="D29" s="14">
        <f>0.14*2</f>
        <v>0.28000000000000003</v>
      </c>
      <c r="E29" s="14">
        <f>S22*D29</f>
        <v>0</v>
      </c>
      <c r="F29" s="16">
        <f>0.14*2</f>
        <v>0.28000000000000003</v>
      </c>
      <c r="G29" s="16">
        <f t="shared" si="5"/>
        <v>0.92400000000000004</v>
      </c>
      <c r="H29" s="10">
        <f>0.14*2</f>
        <v>0.28000000000000003</v>
      </c>
      <c r="I29" s="10">
        <f t="shared" si="6"/>
        <v>0.92400000000000004</v>
      </c>
      <c r="J29" s="6"/>
      <c r="K29" s="6"/>
      <c r="L29" s="6"/>
      <c r="M29" s="1" t="s">
        <v>19</v>
      </c>
      <c r="N29" s="1" t="s">
        <v>20</v>
      </c>
    </row>
    <row r="30" spans="1:14" x14ac:dyDescent="0.25">
      <c r="A30" s="6" t="s">
        <v>17</v>
      </c>
      <c r="B30" s="12">
        <v>8.0000000000000002E-3</v>
      </c>
      <c r="C30" s="12">
        <f>B30*S24</f>
        <v>0</v>
      </c>
      <c r="D30" s="14">
        <v>8.0000000000000002E-3</v>
      </c>
      <c r="E30" s="14">
        <f>S24*D30</f>
        <v>0</v>
      </c>
      <c r="F30" s="16">
        <v>8.0000000000000002E-3</v>
      </c>
      <c r="G30" s="16">
        <f t="shared" si="5"/>
        <v>2.64E-2</v>
      </c>
      <c r="H30" s="10">
        <v>8.0000000000000002E-3</v>
      </c>
      <c r="I30" s="10">
        <f t="shared" si="6"/>
        <v>2.64E-2</v>
      </c>
      <c r="J30" s="6"/>
      <c r="K30" s="6"/>
      <c r="L30" s="6"/>
    </row>
    <row r="31" spans="1:14" s="8" customFormat="1" x14ac:dyDescent="0.25">
      <c r="A31" s="7" t="s">
        <v>28</v>
      </c>
      <c r="B31" s="13">
        <f>SUM(B26:B30)</f>
        <v>35.288000000000004</v>
      </c>
      <c r="C31" s="13">
        <f>SUM(C26:C30)</f>
        <v>115.5</v>
      </c>
      <c r="D31" s="15">
        <f>SUM(C26:C30)</f>
        <v>115.5</v>
      </c>
      <c r="E31" s="15">
        <f>SUM(D26:D30)</f>
        <v>0.28800000000000003</v>
      </c>
      <c r="F31" s="17">
        <f>SUM(F26:F30)</f>
        <v>0.28800000000000003</v>
      </c>
      <c r="G31" s="17">
        <f>SUM(G26:G30)</f>
        <v>0.95040000000000002</v>
      </c>
      <c r="H31" s="11">
        <f>SUM(H26:H30)</f>
        <v>118.38799999999999</v>
      </c>
      <c r="I31" s="11">
        <f>SUM(I26:I30)</f>
        <v>390.68039999999996</v>
      </c>
      <c r="J31" s="7"/>
      <c r="K31" s="7"/>
      <c r="L31" s="7"/>
      <c r="M31" s="9"/>
      <c r="N31" s="9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1"/>
      <c r="N32" s="1"/>
    </row>
    <row r="33" spans="1:14" x14ac:dyDescent="0.25">
      <c r="A33" s="20" t="s">
        <v>61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1"/>
      <c r="N33" s="1"/>
    </row>
    <row r="34" spans="1:14" ht="15" customHeight="1" x14ac:dyDescent="0.25">
      <c r="A34" s="6" t="s">
        <v>56</v>
      </c>
      <c r="B34" s="6">
        <f>1*6</f>
        <v>6</v>
      </c>
      <c r="C34" s="6">
        <f t="shared" si="4"/>
        <v>19.799999999999997</v>
      </c>
      <c r="D34" s="6">
        <v>6</v>
      </c>
      <c r="E34" s="6">
        <f>$S$2*D34</f>
        <v>19.799999999999997</v>
      </c>
      <c r="F34" s="6">
        <v>6</v>
      </c>
      <c r="G34" s="6">
        <f>F34*3.3</f>
        <v>19.799999999999997</v>
      </c>
      <c r="H34" s="6">
        <v>6</v>
      </c>
      <c r="I34" s="6">
        <f t="shared" si="6"/>
        <v>19.799999999999997</v>
      </c>
      <c r="J34" s="6"/>
      <c r="K34" s="6"/>
      <c r="L34" s="6"/>
    </row>
    <row r="35" spans="1:14" ht="15.75" customHeight="1" x14ac:dyDescent="0.25">
      <c r="A35" s="6" t="s">
        <v>57</v>
      </c>
      <c r="B35" s="6">
        <f>6*1.45</f>
        <v>8.6999999999999993</v>
      </c>
      <c r="C35" s="6">
        <f t="shared" si="4"/>
        <v>28.709999999999997</v>
      </c>
      <c r="D35" s="6">
        <f>6*1.45</f>
        <v>8.6999999999999993</v>
      </c>
      <c r="E35" s="19">
        <f>$S$2*D35</f>
        <v>28.709999999999997</v>
      </c>
      <c r="F35" s="6">
        <f>6*1.45</f>
        <v>8.6999999999999993</v>
      </c>
      <c r="G35" s="6">
        <f t="shared" si="5"/>
        <v>28.709999999999997</v>
      </c>
      <c r="H35" s="6">
        <f>6*1.45</f>
        <v>8.6999999999999993</v>
      </c>
      <c r="I35" s="6">
        <f t="shared" si="6"/>
        <v>28.709999999999997</v>
      </c>
      <c r="J35" s="6"/>
      <c r="K35" s="6"/>
      <c r="L35" s="6"/>
    </row>
    <row r="36" spans="1:14" ht="15.75" customHeight="1" x14ac:dyDescent="0.25">
      <c r="A36" s="22" t="s">
        <v>28</v>
      </c>
      <c r="B36" s="6">
        <f>B34+B35</f>
        <v>14.7</v>
      </c>
      <c r="C36" s="19">
        <f t="shared" ref="C36:I36" si="7">C34+C35</f>
        <v>48.509999999999991</v>
      </c>
      <c r="D36" s="19">
        <f t="shared" si="7"/>
        <v>14.7</v>
      </c>
      <c r="E36" s="19">
        <f t="shared" si="7"/>
        <v>48.509999999999991</v>
      </c>
      <c r="F36" s="19">
        <f t="shared" si="7"/>
        <v>14.7</v>
      </c>
      <c r="G36" s="19">
        <f t="shared" si="7"/>
        <v>48.509999999999991</v>
      </c>
      <c r="H36" s="19">
        <f t="shared" si="7"/>
        <v>14.7</v>
      </c>
      <c r="I36" s="19">
        <f t="shared" si="7"/>
        <v>48.509999999999991</v>
      </c>
      <c r="J36" s="6"/>
      <c r="K36" s="6"/>
      <c r="L36" s="6"/>
    </row>
    <row r="38" spans="1:14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4" x14ac:dyDescent="0.25">
      <c r="A39" s="6" t="s">
        <v>24</v>
      </c>
      <c r="B39" s="6"/>
      <c r="C39" s="6">
        <f>B39*S20</f>
        <v>0</v>
      </c>
      <c r="D39" s="6"/>
      <c r="E39" s="6">
        <f>S2*D39</f>
        <v>0</v>
      </c>
      <c r="F39" s="6"/>
      <c r="G39" s="6">
        <f>F39*3.3</f>
        <v>0</v>
      </c>
      <c r="H39" s="6"/>
      <c r="I39" s="6">
        <f>H39*3.3</f>
        <v>0</v>
      </c>
      <c r="J39" s="6">
        <v>1.85</v>
      </c>
      <c r="K39" s="6">
        <f>1.85*3.3*1000</f>
        <v>6104.9999999999991</v>
      </c>
      <c r="L39" s="6"/>
    </row>
    <row r="40" spans="1:14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4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4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4" ht="15.75" customHeight="1" x14ac:dyDescent="0.25">
      <c r="A43" s="6" t="s">
        <v>28</v>
      </c>
      <c r="B43" s="6">
        <f>SUM(B6:B27)</f>
        <v>176.74799999999999</v>
      </c>
      <c r="C43" s="6">
        <f>SUM(C6:C27)</f>
        <v>583.27110000000005</v>
      </c>
      <c r="D43" s="6">
        <f>SUM(D6:D27)</f>
        <v>692.73800000000006</v>
      </c>
      <c r="E43" s="6">
        <f>SUM(E6:E27)</f>
        <v>2781.0354000000002</v>
      </c>
      <c r="F43" s="6">
        <f>SUM(F6:F28)</f>
        <v>156.03800000000001</v>
      </c>
      <c r="G43" s="6">
        <f>SUM(G6:G27)</f>
        <v>526.89539999999977</v>
      </c>
      <c r="H43" s="6">
        <f>SUM(H6:H27)</f>
        <v>258.839</v>
      </c>
      <c r="I43" s="6">
        <f>SUM(I6:I28)</f>
        <v>870.67139999999984</v>
      </c>
      <c r="J43" s="6">
        <f>J39</f>
        <v>1.85</v>
      </c>
      <c r="K43" s="6">
        <f>K39</f>
        <v>6104.9999999999991</v>
      </c>
      <c r="L43" s="6"/>
    </row>
    <row r="44" spans="1:14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4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4" ht="15.75" customHeight="1" x14ac:dyDescent="0.25"/>
    <row r="47" spans="1:14" ht="15.75" customHeight="1" x14ac:dyDescent="0.25"/>
    <row r="48" spans="1:14" ht="15.75" customHeight="1" x14ac:dyDescent="0.25"/>
    <row r="49" spans="1:21" ht="15.75" customHeight="1" x14ac:dyDescent="0.25"/>
    <row r="50" spans="1:21" ht="15.75" customHeight="1" x14ac:dyDescent="0.25">
      <c r="K50" s="39" t="s">
        <v>48</v>
      </c>
      <c r="L50" s="38"/>
      <c r="M50" s="38"/>
      <c r="N50" s="38"/>
      <c r="O50" s="38"/>
      <c r="T50" s="39"/>
      <c r="U50" s="38"/>
    </row>
    <row r="51" spans="1:21" ht="15.75" customHeight="1" x14ac:dyDescent="0.25">
      <c r="H51" s="1"/>
    </row>
    <row r="52" spans="1:21" ht="15.75" customHeight="1" x14ac:dyDescent="0.25">
      <c r="G52" s="1" t="s">
        <v>49</v>
      </c>
    </row>
    <row r="53" spans="1:21" ht="15.75" customHeight="1" x14ac:dyDescent="0.25">
      <c r="A53" s="4" t="s">
        <v>29</v>
      </c>
    </row>
    <row r="54" spans="1:21" ht="15.75" customHeight="1" x14ac:dyDescent="0.25">
      <c r="A54" s="3" t="s">
        <v>30</v>
      </c>
      <c r="B54" s="2">
        <f>I43</f>
        <v>870.67139999999984</v>
      </c>
      <c r="C54" s="5" t="s">
        <v>31</v>
      </c>
    </row>
    <row r="55" spans="1:21" ht="15.75" customHeight="1" x14ac:dyDescent="0.25">
      <c r="A55" s="3" t="s">
        <v>32</v>
      </c>
      <c r="B55" s="2">
        <v>35</v>
      </c>
      <c r="C55" s="5" t="s">
        <v>33</v>
      </c>
      <c r="H55" s="37" t="s">
        <v>50</v>
      </c>
      <c r="I55" s="38"/>
    </row>
    <row r="56" spans="1:21" ht="15.75" customHeight="1" x14ac:dyDescent="0.25">
      <c r="A56" s="3" t="s">
        <v>34</v>
      </c>
      <c r="B56" s="2">
        <f>B54*B55/60</f>
        <v>507.89164999999986</v>
      </c>
      <c r="C56" s="5" t="s">
        <v>35</v>
      </c>
      <c r="H56" s="38"/>
      <c r="I56" s="38"/>
    </row>
    <row r="57" spans="1:21" ht="15.75" customHeight="1" x14ac:dyDescent="0.25">
      <c r="A57" s="3" t="s">
        <v>36</v>
      </c>
      <c r="B57" s="2">
        <v>75</v>
      </c>
      <c r="C57" s="5" t="s">
        <v>37</v>
      </c>
    </row>
    <row r="58" spans="1:21" ht="15.75" customHeight="1" x14ac:dyDescent="0.25">
      <c r="A58" s="3" t="s">
        <v>38</v>
      </c>
      <c r="B58" s="2">
        <f>B56*(100/B57)</f>
        <v>677.1888666666664</v>
      </c>
      <c r="C58" s="5" t="s">
        <v>35</v>
      </c>
    </row>
    <row r="59" spans="1:21" ht="15.75" customHeight="1" x14ac:dyDescent="0.25">
      <c r="A59" s="3" t="s">
        <v>39</v>
      </c>
      <c r="B59" s="2">
        <v>15</v>
      </c>
      <c r="C59" s="5"/>
    </row>
    <row r="60" spans="1:21" ht="15.75" customHeight="1" x14ac:dyDescent="0.25">
      <c r="A60" s="3" t="s">
        <v>40</v>
      </c>
      <c r="B60" s="2">
        <f>365*B59</f>
        <v>5475</v>
      </c>
      <c r="C60" s="5"/>
    </row>
    <row r="61" spans="1:21" ht="15.75" customHeight="1" x14ac:dyDescent="0.25">
      <c r="A61" s="3" t="s">
        <v>41</v>
      </c>
      <c r="B61" s="2">
        <v>2</v>
      </c>
      <c r="C61" s="5" t="s">
        <v>42</v>
      </c>
    </row>
    <row r="62" spans="1:21" ht="15.75" customHeight="1" x14ac:dyDescent="0.25">
      <c r="A62" s="3" t="s">
        <v>43</v>
      </c>
      <c r="B62" s="2">
        <v>30</v>
      </c>
      <c r="C62" s="5" t="s">
        <v>37</v>
      </c>
    </row>
    <row r="63" spans="1:21" ht="15.75" customHeight="1" x14ac:dyDescent="0.25">
      <c r="A63" s="3" t="s">
        <v>44</v>
      </c>
      <c r="B63" s="2">
        <v>25</v>
      </c>
      <c r="C63" s="5" t="s">
        <v>37</v>
      </c>
    </row>
    <row r="64" spans="1:21" ht="15.75" customHeight="1" x14ac:dyDescent="0.25">
      <c r="A64" s="3" t="s">
        <v>45</v>
      </c>
      <c r="B64" s="2">
        <f>B58*(100/B62)*(1+B63/100)</f>
        <v>2821.6202777777767</v>
      </c>
      <c r="C64" s="5" t="s">
        <v>35</v>
      </c>
    </row>
    <row r="65" spans="1:3" ht="15.75" customHeight="1" x14ac:dyDescent="0.25">
      <c r="A65" s="3" t="s">
        <v>46</v>
      </c>
      <c r="B65" s="1">
        <f>B64/3.3</f>
        <v>855.03644781144749</v>
      </c>
      <c r="C65" s="5" t="s">
        <v>47</v>
      </c>
    </row>
    <row r="66" spans="1:3" ht="15.75" customHeight="1" x14ac:dyDescent="0.25"/>
    <row r="67" spans="1:3" ht="15.75" customHeight="1" x14ac:dyDescent="0.25"/>
    <row r="68" spans="1:3" ht="15.75" customHeight="1" x14ac:dyDescent="0.25"/>
    <row r="69" spans="1:3" ht="15.75" customHeight="1" x14ac:dyDescent="0.25"/>
    <row r="70" spans="1:3" ht="15.75" customHeight="1" x14ac:dyDescent="0.25"/>
    <row r="71" spans="1:3" ht="15.75" customHeight="1" x14ac:dyDescent="0.25"/>
    <row r="72" spans="1:3" ht="15.75" customHeight="1" x14ac:dyDescent="0.25"/>
    <row r="73" spans="1:3" ht="15.75" customHeight="1" x14ac:dyDescent="0.25"/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11">
    <mergeCell ref="M10:N11"/>
    <mergeCell ref="K50:O50"/>
    <mergeCell ref="T50:U50"/>
    <mergeCell ref="H55:I56"/>
    <mergeCell ref="E1:G1"/>
    <mergeCell ref="E2:G2"/>
    <mergeCell ref="B3:C3"/>
    <mergeCell ref="D3:E3"/>
    <mergeCell ref="F3:G3"/>
    <mergeCell ref="H3:I3"/>
    <mergeCell ref="J3:K3"/>
  </mergeCells>
  <pageMargins left="0.7" right="0.7" top="0.75" bottom="0.75" header="0" footer="0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zoomScale="154" zoomScaleNormal="154" workbookViewId="0">
      <selection activeCell="I13" sqref="I13"/>
    </sheetView>
  </sheetViews>
  <sheetFormatPr defaultRowHeight="15" x14ac:dyDescent="0.25"/>
  <cols>
    <col min="1" max="1" width="17.140625" customWidth="1"/>
    <col min="2" max="2" width="12.7109375" customWidth="1"/>
    <col min="3" max="3" width="13.28515625" customWidth="1"/>
    <col min="4" max="4" width="13.140625" customWidth="1"/>
    <col min="5" max="5" width="10.85546875" customWidth="1"/>
    <col min="6" max="6" width="14.42578125" customWidth="1"/>
    <col min="7" max="7" width="14" customWidth="1"/>
    <col min="8" max="8" width="19.7109375" customWidth="1"/>
    <col min="9" max="9" width="25.28515625" customWidth="1"/>
    <col min="10" max="10" width="38.140625" customWidth="1"/>
  </cols>
  <sheetData>
    <row r="1" spans="1:10" s="18" customFormat="1" x14ac:dyDescent="0.25">
      <c r="A1" s="44" t="s">
        <v>87</v>
      </c>
      <c r="B1" s="44"/>
      <c r="C1" s="44"/>
      <c r="D1" s="44"/>
      <c r="E1" s="44"/>
      <c r="F1" s="44"/>
      <c r="G1" s="44"/>
      <c r="H1" s="44"/>
      <c r="I1" s="44"/>
    </row>
    <row r="2" spans="1:10" s="18" customFormat="1" x14ac:dyDescent="0.25">
      <c r="A2" s="44" t="s">
        <v>0</v>
      </c>
      <c r="B2" s="44"/>
      <c r="C2" s="44"/>
      <c r="D2" s="44"/>
      <c r="E2" s="44"/>
      <c r="F2" s="44"/>
      <c r="G2" s="44"/>
      <c r="H2" s="44"/>
      <c r="I2" s="44"/>
    </row>
    <row r="3" spans="1:10" x14ac:dyDescent="0.25">
      <c r="A3" s="23"/>
      <c r="B3" s="23"/>
      <c r="C3" s="23"/>
      <c r="D3" s="23"/>
      <c r="E3" s="23"/>
      <c r="F3" s="23"/>
      <c r="G3" s="23"/>
      <c r="H3" s="23"/>
      <c r="I3" s="23"/>
    </row>
    <row r="4" spans="1:10" x14ac:dyDescent="0.25">
      <c r="A4" s="24"/>
      <c r="B4" s="45" t="s">
        <v>77</v>
      </c>
      <c r="C4" s="45"/>
      <c r="D4" s="45"/>
      <c r="E4" s="45" t="s">
        <v>75</v>
      </c>
      <c r="F4" s="45"/>
      <c r="G4" s="45"/>
      <c r="H4" s="24"/>
      <c r="I4" s="24"/>
    </row>
    <row r="5" spans="1:10" x14ac:dyDescent="0.25">
      <c r="A5" s="24" t="s">
        <v>82</v>
      </c>
      <c r="B5" s="24" t="s">
        <v>66</v>
      </c>
      <c r="C5" s="24" t="s">
        <v>67</v>
      </c>
      <c r="D5" s="24" t="s">
        <v>68</v>
      </c>
      <c r="E5" s="24" t="s">
        <v>70</v>
      </c>
      <c r="F5" s="24" t="s">
        <v>71</v>
      </c>
      <c r="G5" s="24" t="s">
        <v>72</v>
      </c>
      <c r="H5" s="24" t="s">
        <v>73</v>
      </c>
      <c r="I5" s="24" t="s">
        <v>74</v>
      </c>
    </row>
    <row r="6" spans="1:10" x14ac:dyDescent="0.25">
      <c r="A6" s="25" t="s">
        <v>58</v>
      </c>
      <c r="B6" s="26">
        <v>3.3</v>
      </c>
      <c r="C6" s="26">
        <f>68.288</f>
        <v>68.287999999999997</v>
      </c>
      <c r="D6" s="26">
        <f>B6*C6</f>
        <v>225.35039999999998</v>
      </c>
      <c r="E6" s="26">
        <v>5700</v>
      </c>
      <c r="F6" s="26">
        <f>E6/3600</f>
        <v>1.5833333333333333</v>
      </c>
      <c r="G6" s="26">
        <v>1</v>
      </c>
      <c r="H6" s="26">
        <f>G6*F6</f>
        <v>1.5833333333333333</v>
      </c>
      <c r="I6" s="27">
        <f>D6*H6</f>
        <v>356.80479999999994</v>
      </c>
    </row>
    <row r="7" spans="1:10" x14ac:dyDescent="0.25">
      <c r="A7" s="28" t="s">
        <v>78</v>
      </c>
      <c r="B7" s="29">
        <v>4.2</v>
      </c>
      <c r="C7" s="29">
        <v>200</v>
      </c>
      <c r="D7" s="29">
        <f t="shared" ref="D7:D11" si="0">B7*C7</f>
        <v>840</v>
      </c>
      <c r="E7" s="29">
        <v>25</v>
      </c>
      <c r="F7" s="29">
        <f>E7/3600</f>
        <v>6.9444444444444441E-3</v>
      </c>
      <c r="G7" s="29">
        <v>5</v>
      </c>
      <c r="H7" s="29">
        <f>G7*F7</f>
        <v>3.4722222222222224E-2</v>
      </c>
      <c r="I7" s="30">
        <f>D7*H7</f>
        <v>29.166666666666668</v>
      </c>
    </row>
    <row r="8" spans="1:10" x14ac:dyDescent="0.25">
      <c r="A8" s="28" t="s">
        <v>59</v>
      </c>
      <c r="B8" s="29">
        <v>3.3</v>
      </c>
      <c r="C8" s="29">
        <v>2.0844999999999998</v>
      </c>
      <c r="D8" s="29">
        <f t="shared" si="0"/>
        <v>6.878849999999999</v>
      </c>
      <c r="E8" s="29">
        <v>5700</v>
      </c>
      <c r="F8" s="29">
        <f t="shared" ref="F8:F11" si="1">E8/3600</f>
        <v>1.5833333333333333</v>
      </c>
      <c r="G8" s="29">
        <v>1</v>
      </c>
      <c r="H8" s="29">
        <f>G8*F8</f>
        <v>1.5833333333333333</v>
      </c>
      <c r="I8" s="30">
        <f>D8*H8</f>
        <v>10.891512499999997</v>
      </c>
    </row>
    <row r="9" spans="1:10" x14ac:dyDescent="0.25">
      <c r="A9" s="28" t="s">
        <v>60</v>
      </c>
      <c r="B9" s="29">
        <v>3.3</v>
      </c>
      <c r="C9" s="29">
        <v>35.287999999999997</v>
      </c>
      <c r="D9" s="29">
        <f t="shared" si="0"/>
        <v>116.45039999999999</v>
      </c>
      <c r="E9" s="29">
        <v>0</v>
      </c>
      <c r="F9" s="29">
        <f t="shared" si="1"/>
        <v>0</v>
      </c>
      <c r="G9" s="29">
        <v>1</v>
      </c>
      <c r="H9" s="29">
        <f t="shared" ref="H9:H11" si="2">G9*F9</f>
        <v>0</v>
      </c>
      <c r="I9" s="30">
        <f t="shared" ref="I9:I11" si="3">D9*H9</f>
        <v>0</v>
      </c>
      <c r="J9" s="21" t="s">
        <v>86</v>
      </c>
    </row>
    <row r="10" spans="1:10" x14ac:dyDescent="0.25">
      <c r="A10" s="28" t="s">
        <v>76</v>
      </c>
      <c r="B10" s="29">
        <v>3.3</v>
      </c>
      <c r="C10" s="29">
        <v>14.7</v>
      </c>
      <c r="D10" s="29">
        <f t="shared" si="0"/>
        <v>48.51</v>
      </c>
      <c r="E10" s="29">
        <v>5700</v>
      </c>
      <c r="F10" s="29">
        <f t="shared" si="1"/>
        <v>1.5833333333333333</v>
      </c>
      <c r="G10" s="29">
        <v>1</v>
      </c>
      <c r="H10" s="29">
        <f t="shared" si="2"/>
        <v>1.5833333333333333</v>
      </c>
      <c r="I10" s="30">
        <f t="shared" si="3"/>
        <v>76.80749999999999</v>
      </c>
    </row>
    <row r="11" spans="1:10" x14ac:dyDescent="0.25">
      <c r="A11" s="28" t="s">
        <v>24</v>
      </c>
      <c r="B11" s="29">
        <v>3.3</v>
      </c>
      <c r="C11" s="29">
        <v>0</v>
      </c>
      <c r="D11" s="29">
        <f t="shared" si="0"/>
        <v>0</v>
      </c>
      <c r="E11" s="29">
        <v>0</v>
      </c>
      <c r="F11" s="29">
        <f t="shared" si="1"/>
        <v>0</v>
      </c>
      <c r="G11" s="29">
        <v>0</v>
      </c>
      <c r="H11" s="29">
        <f t="shared" si="2"/>
        <v>0</v>
      </c>
      <c r="I11" s="30">
        <f t="shared" si="3"/>
        <v>0</v>
      </c>
    </row>
    <row r="12" spans="1:10" x14ac:dyDescent="0.25">
      <c r="A12" s="31"/>
      <c r="B12" s="32"/>
      <c r="C12" s="32"/>
      <c r="D12" s="32"/>
      <c r="E12" s="32"/>
      <c r="F12" s="32"/>
      <c r="G12" s="32"/>
      <c r="H12" s="33" t="s">
        <v>28</v>
      </c>
      <c r="I12" s="34">
        <f>SUM(I6:I11)</f>
        <v>473.67047916666661</v>
      </c>
    </row>
    <row r="13" spans="1:10" x14ac:dyDescent="0.25">
      <c r="A13" s="23"/>
      <c r="B13" s="23"/>
      <c r="C13" s="23"/>
      <c r="D13" s="23"/>
      <c r="E13" s="23"/>
      <c r="F13" s="23"/>
      <c r="G13" s="23"/>
      <c r="H13" s="23"/>
      <c r="I13" s="23"/>
    </row>
    <row r="14" spans="1:10" x14ac:dyDescent="0.25">
      <c r="A14" s="23"/>
      <c r="B14" s="23"/>
      <c r="C14" s="23"/>
      <c r="D14" s="23"/>
      <c r="E14" s="23"/>
      <c r="F14" s="23"/>
      <c r="G14" s="23"/>
      <c r="H14" s="23"/>
      <c r="I14" s="23"/>
    </row>
    <row r="15" spans="1:10" x14ac:dyDescent="0.25">
      <c r="A15" s="24"/>
      <c r="B15" s="45" t="s">
        <v>77</v>
      </c>
      <c r="C15" s="45"/>
      <c r="D15" s="45"/>
      <c r="E15" s="45" t="s">
        <v>84</v>
      </c>
      <c r="F15" s="45"/>
      <c r="G15" s="45"/>
      <c r="H15" s="24"/>
      <c r="I15" s="24"/>
    </row>
    <row r="16" spans="1:10" x14ac:dyDescent="0.25">
      <c r="A16" s="35" t="s">
        <v>81</v>
      </c>
      <c r="B16" s="35" t="s">
        <v>66</v>
      </c>
      <c r="C16" s="35" t="s">
        <v>67</v>
      </c>
      <c r="D16" s="35" t="s">
        <v>68</v>
      </c>
      <c r="E16" s="35" t="s">
        <v>70</v>
      </c>
      <c r="F16" s="35" t="s">
        <v>71</v>
      </c>
      <c r="G16" s="35" t="s">
        <v>72</v>
      </c>
      <c r="H16" s="35" t="s">
        <v>73</v>
      </c>
      <c r="I16" s="35" t="s">
        <v>74</v>
      </c>
    </row>
    <row r="17" spans="1:10" x14ac:dyDescent="0.25">
      <c r="A17" s="25" t="s">
        <v>58</v>
      </c>
      <c r="B17" s="26">
        <v>3.3</v>
      </c>
      <c r="C17" s="26">
        <f>68.288</f>
        <v>68.287999999999997</v>
      </c>
      <c r="D17" s="26">
        <f>B17*C17</f>
        <v>225.35039999999998</v>
      </c>
      <c r="E17" s="26">
        <v>5700</v>
      </c>
      <c r="F17" s="26">
        <f>E17/3600</f>
        <v>1.5833333333333333</v>
      </c>
      <c r="G17" s="26">
        <v>1</v>
      </c>
      <c r="H17" s="26">
        <f>G17*F17</f>
        <v>1.5833333333333333</v>
      </c>
      <c r="I17" s="27">
        <f>D17*H17</f>
        <v>356.80479999999994</v>
      </c>
    </row>
    <row r="18" spans="1:10" x14ac:dyDescent="0.25">
      <c r="A18" s="28" t="s">
        <v>78</v>
      </c>
      <c r="B18" s="29">
        <v>4.2</v>
      </c>
      <c r="C18" s="29">
        <v>200</v>
      </c>
      <c r="D18" s="29">
        <f t="shared" ref="D18:D20" si="4">B18*C18</f>
        <v>840</v>
      </c>
      <c r="E18" s="29">
        <v>25</v>
      </c>
      <c r="F18" s="29">
        <f>E18/3600</f>
        <v>6.9444444444444441E-3</v>
      </c>
      <c r="G18" s="29">
        <v>20</v>
      </c>
      <c r="H18" s="29">
        <f>G18*F18</f>
        <v>0.1388888888888889</v>
      </c>
      <c r="I18" s="30">
        <f>D18*H18</f>
        <v>116.66666666666667</v>
      </c>
    </row>
    <row r="19" spans="1:10" x14ac:dyDescent="0.25">
      <c r="A19" s="28" t="s">
        <v>79</v>
      </c>
      <c r="B19" s="29">
        <v>4.2</v>
      </c>
      <c r="C19" s="29">
        <v>200</v>
      </c>
      <c r="D19" s="29">
        <f t="shared" si="4"/>
        <v>840</v>
      </c>
      <c r="E19" s="29">
        <v>2</v>
      </c>
      <c r="F19" s="29">
        <f t="shared" ref="F19:F20" si="5">E19/3600</f>
        <v>5.5555555555555556E-4</v>
      </c>
      <c r="G19" s="29">
        <v>2</v>
      </c>
      <c r="H19" s="29">
        <f t="shared" ref="H19:H20" si="6">G19*F19</f>
        <v>1.1111111111111111E-3</v>
      </c>
      <c r="I19" s="30">
        <f t="shared" ref="I19:I20" si="7">D19*H19</f>
        <v>0.93333333333333335</v>
      </c>
    </row>
    <row r="20" spans="1:10" x14ac:dyDescent="0.25">
      <c r="A20" s="28" t="s">
        <v>80</v>
      </c>
      <c r="B20" s="29">
        <v>4.2</v>
      </c>
      <c r="C20" s="29">
        <v>550</v>
      </c>
      <c r="D20" s="29">
        <f t="shared" si="4"/>
        <v>2310</v>
      </c>
      <c r="E20" s="29">
        <v>11</v>
      </c>
      <c r="F20" s="29">
        <f t="shared" si="5"/>
        <v>3.0555555555555557E-3</v>
      </c>
      <c r="G20" s="29">
        <v>1</v>
      </c>
      <c r="H20" s="29">
        <f t="shared" si="6"/>
        <v>3.0555555555555557E-3</v>
      </c>
      <c r="I20" s="30">
        <f t="shared" si="7"/>
        <v>7.0583333333333336</v>
      </c>
      <c r="J20" t="s">
        <v>88</v>
      </c>
    </row>
    <row r="21" spans="1:10" x14ac:dyDescent="0.25">
      <c r="A21" s="28" t="s">
        <v>83</v>
      </c>
      <c r="B21" s="29">
        <v>4.2</v>
      </c>
      <c r="C21" s="29">
        <v>13.3</v>
      </c>
      <c r="D21" s="29">
        <f>B21*C21</f>
        <v>55.860000000000007</v>
      </c>
      <c r="E21" s="29">
        <v>30</v>
      </c>
      <c r="F21" s="29">
        <f>E21/3600</f>
        <v>8.3333333333333332E-3</v>
      </c>
      <c r="G21" s="29">
        <v>5</v>
      </c>
      <c r="H21" s="29">
        <f>G21*F21</f>
        <v>4.1666666666666664E-2</v>
      </c>
      <c r="I21" s="30">
        <f>D21*H21</f>
        <v>2.3275000000000001</v>
      </c>
    </row>
    <row r="22" spans="1:10" x14ac:dyDescent="0.25">
      <c r="A22" s="28" t="s">
        <v>59</v>
      </c>
      <c r="B22" s="29">
        <v>3.3</v>
      </c>
      <c r="C22" s="29">
        <v>2.0844999999999998</v>
      </c>
      <c r="D22" s="29">
        <f>B22*C22</f>
        <v>6.878849999999999</v>
      </c>
      <c r="E22" s="29">
        <v>5700</v>
      </c>
      <c r="F22" s="29">
        <f t="shared" ref="F22:F25" si="8">E22/3600</f>
        <v>1.5833333333333333</v>
      </c>
      <c r="G22" s="29">
        <v>1</v>
      </c>
      <c r="H22" s="29">
        <f>G22*F22</f>
        <v>1.5833333333333333</v>
      </c>
      <c r="I22" s="30">
        <f>D22*H22</f>
        <v>10.891512499999997</v>
      </c>
    </row>
    <row r="23" spans="1:10" s="18" customFormat="1" x14ac:dyDescent="0.25">
      <c r="A23" s="28" t="s">
        <v>60</v>
      </c>
      <c r="B23" s="29">
        <v>3.3</v>
      </c>
      <c r="C23" s="29">
        <v>35.287999999999997</v>
      </c>
      <c r="D23" s="29">
        <f t="shared" ref="D23" si="9">B23*C23</f>
        <v>116.45039999999999</v>
      </c>
      <c r="E23" s="29">
        <v>5700</v>
      </c>
      <c r="F23" s="29">
        <f t="shared" si="8"/>
        <v>1.5833333333333333</v>
      </c>
      <c r="G23" s="29">
        <v>1</v>
      </c>
      <c r="H23" s="29">
        <f t="shared" ref="H23" si="10">G23*F23</f>
        <v>1.5833333333333333</v>
      </c>
      <c r="I23" s="30">
        <f t="shared" ref="I23" si="11">D23*H23</f>
        <v>184.37979999999996</v>
      </c>
    </row>
    <row r="24" spans="1:10" x14ac:dyDescent="0.25">
      <c r="A24" s="28" t="s">
        <v>85</v>
      </c>
      <c r="B24" s="29">
        <v>3.3</v>
      </c>
      <c r="C24" s="29">
        <v>118.38800000000001</v>
      </c>
      <c r="D24" s="29">
        <f>B24*C24</f>
        <v>390.68040000000002</v>
      </c>
      <c r="E24" s="29">
        <v>10</v>
      </c>
      <c r="F24" s="29">
        <f t="shared" si="8"/>
        <v>2.7777777777777779E-3</v>
      </c>
      <c r="G24" s="29">
        <v>2</v>
      </c>
      <c r="H24" s="29">
        <f t="shared" ref="H24:H25" si="12">G24*F24</f>
        <v>5.5555555555555558E-3</v>
      </c>
      <c r="I24" s="30">
        <f t="shared" ref="I24:I25" si="13">D24*H24</f>
        <v>2.1704466666666669</v>
      </c>
    </row>
    <row r="25" spans="1:10" x14ac:dyDescent="0.25">
      <c r="A25" s="28" t="s">
        <v>76</v>
      </c>
      <c r="B25" s="29">
        <v>3.3</v>
      </c>
      <c r="C25" s="29">
        <v>14.7</v>
      </c>
      <c r="D25" s="29">
        <f>B25*C25</f>
        <v>48.51</v>
      </c>
      <c r="E25" s="29">
        <v>5700</v>
      </c>
      <c r="F25" s="29">
        <f t="shared" si="8"/>
        <v>1.5833333333333333</v>
      </c>
      <c r="G25" s="29">
        <v>1</v>
      </c>
      <c r="H25" s="29">
        <f t="shared" si="12"/>
        <v>1.5833333333333333</v>
      </c>
      <c r="I25" s="30">
        <f t="shared" si="13"/>
        <v>76.80749999999999</v>
      </c>
    </row>
    <row r="26" spans="1:10" x14ac:dyDescent="0.25">
      <c r="A26" s="28"/>
      <c r="B26" s="29"/>
      <c r="C26" s="29"/>
      <c r="D26" s="29"/>
      <c r="E26" s="29"/>
      <c r="F26" s="29"/>
      <c r="G26" s="29"/>
      <c r="H26" s="29"/>
      <c r="I26" s="30"/>
    </row>
    <row r="27" spans="1:10" x14ac:dyDescent="0.25">
      <c r="A27" s="31"/>
      <c r="B27" s="32"/>
      <c r="C27" s="32"/>
      <c r="D27" s="32"/>
      <c r="E27" s="32"/>
      <c r="F27" s="32"/>
      <c r="G27" s="32"/>
      <c r="H27" s="33" t="s">
        <v>28</v>
      </c>
      <c r="I27" s="34">
        <f>SUM(I17:I25)</f>
        <v>758.03989249999984</v>
      </c>
    </row>
    <row r="29" spans="1:10" x14ac:dyDescent="0.25">
      <c r="A29" s="8"/>
      <c r="B29" s="43"/>
      <c r="C29" s="43"/>
      <c r="D29" s="43"/>
      <c r="E29" s="43"/>
      <c r="F29" s="43"/>
      <c r="G29" s="43"/>
      <c r="H29" s="8"/>
      <c r="I29" s="8"/>
    </row>
    <row r="30" spans="1:10" x14ac:dyDescent="0.25">
      <c r="A30" s="8"/>
      <c r="B30" s="8"/>
      <c r="C30" s="8"/>
      <c r="D30" s="8"/>
      <c r="E30" s="8"/>
      <c r="F30" s="8"/>
      <c r="G30" s="8"/>
      <c r="H30" s="8"/>
      <c r="I30" s="8"/>
    </row>
    <row r="31" spans="1:10" x14ac:dyDescent="0.25">
      <c r="A31" s="21"/>
      <c r="B31" s="18"/>
      <c r="C31" s="18"/>
      <c r="D31" s="18"/>
      <c r="E31" s="18"/>
      <c r="F31" s="18"/>
      <c r="G31" s="18"/>
      <c r="H31" s="18"/>
      <c r="I31" s="18"/>
    </row>
    <row r="33" spans="1:9" s="18" customFormat="1" x14ac:dyDescent="0.25">
      <c r="A33" s="21"/>
    </row>
    <row r="34" spans="1:9" x14ac:dyDescent="0.25">
      <c r="A34" s="21"/>
      <c r="B34" s="18"/>
      <c r="C34" s="18"/>
      <c r="D34" s="18"/>
      <c r="E34" s="18"/>
      <c r="F34" s="18"/>
      <c r="G34" s="18"/>
      <c r="H34" s="18"/>
      <c r="I34" s="18"/>
    </row>
    <row r="35" spans="1:9" x14ac:dyDescent="0.25">
      <c r="A35" s="21"/>
      <c r="B35" s="18"/>
      <c r="C35" s="18"/>
      <c r="D35" s="18"/>
      <c r="E35" s="18"/>
      <c r="F35" s="18"/>
      <c r="G35" s="18"/>
      <c r="H35" s="18"/>
      <c r="I35" s="18"/>
    </row>
    <row r="36" spans="1:9" x14ac:dyDescent="0.25">
      <c r="A36" s="21"/>
      <c r="B36" s="18"/>
      <c r="C36" s="18"/>
      <c r="D36" s="18"/>
      <c r="E36" s="18"/>
      <c r="F36" s="18"/>
      <c r="G36" s="18"/>
      <c r="H36" s="18"/>
      <c r="I36" s="18"/>
    </row>
    <row r="37" spans="1:9" x14ac:dyDescent="0.25">
      <c r="A37" s="18"/>
      <c r="B37" s="18"/>
      <c r="C37" s="18"/>
      <c r="D37" s="18"/>
      <c r="E37" s="18"/>
      <c r="F37" s="18"/>
      <c r="G37" s="18"/>
      <c r="H37" s="18"/>
      <c r="I37" s="18"/>
    </row>
    <row r="38" spans="1:9" x14ac:dyDescent="0.25">
      <c r="A38" s="18"/>
      <c r="B38" s="18"/>
      <c r="C38" s="18"/>
      <c r="D38" s="18"/>
      <c r="E38" s="18"/>
      <c r="F38" s="18"/>
      <c r="G38" s="18"/>
      <c r="H38" s="8"/>
      <c r="I38" s="8"/>
    </row>
    <row r="40" spans="1:9" x14ac:dyDescent="0.25">
      <c r="A40" s="8"/>
      <c r="B40" s="43"/>
      <c r="C40" s="43"/>
      <c r="D40" s="43"/>
      <c r="E40" s="43"/>
      <c r="F40" s="43"/>
      <c r="G40" s="43"/>
      <c r="H40" s="8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21"/>
      <c r="B42" s="18"/>
      <c r="C42" s="18"/>
      <c r="D42" s="18"/>
      <c r="E42" s="18"/>
      <c r="F42" s="18"/>
      <c r="G42" s="18"/>
      <c r="H42" s="18"/>
      <c r="I42" s="18"/>
    </row>
    <row r="43" spans="1:9" x14ac:dyDescent="0.25">
      <c r="A43" s="21"/>
      <c r="B43" s="18"/>
      <c r="C43" s="18"/>
      <c r="D43" s="18"/>
      <c r="E43" s="18"/>
      <c r="F43" s="18"/>
      <c r="G43" s="18"/>
      <c r="H43" s="18"/>
      <c r="I43" s="18"/>
    </row>
    <row r="44" spans="1:9" x14ac:dyDescent="0.25">
      <c r="A44" s="21"/>
      <c r="B44" s="18"/>
      <c r="C44" s="18"/>
      <c r="D44" s="18"/>
      <c r="E44" s="18"/>
      <c r="F44" s="18"/>
      <c r="G44" s="18"/>
      <c r="H44" s="18"/>
      <c r="I44" s="18"/>
    </row>
    <row r="45" spans="1:9" x14ac:dyDescent="0.25">
      <c r="A45" s="21"/>
      <c r="B45" s="18"/>
      <c r="C45" s="18"/>
      <c r="D45" s="18"/>
      <c r="E45" s="18"/>
      <c r="F45" s="18"/>
      <c r="G45" s="18"/>
      <c r="H45" s="18"/>
      <c r="I45" s="18"/>
    </row>
    <row r="46" spans="1:9" x14ac:dyDescent="0.25">
      <c r="A46" s="21"/>
      <c r="B46" s="18"/>
      <c r="C46" s="18"/>
      <c r="D46" s="18"/>
      <c r="E46" s="18"/>
      <c r="F46" s="18"/>
      <c r="G46" s="18"/>
      <c r="H46" s="18"/>
      <c r="I46" s="18"/>
    </row>
    <row r="47" spans="1:9" x14ac:dyDescent="0.25">
      <c r="A47" s="21"/>
      <c r="B47" s="18"/>
      <c r="C47" s="18"/>
      <c r="D47" s="18"/>
      <c r="E47" s="18"/>
      <c r="F47" s="18"/>
      <c r="G47" s="18"/>
      <c r="H47" s="18"/>
      <c r="I47" s="18"/>
    </row>
    <row r="48" spans="1:9" x14ac:dyDescent="0.25">
      <c r="A48" s="18"/>
      <c r="B48" s="18"/>
      <c r="C48" s="18"/>
      <c r="D48" s="18"/>
      <c r="E48" s="18"/>
      <c r="F48" s="18"/>
      <c r="G48" s="18"/>
      <c r="H48" s="18"/>
      <c r="I48" s="18"/>
    </row>
    <row r="49" spans="1:9" x14ac:dyDescent="0.25">
      <c r="A49" s="18"/>
      <c r="B49" s="18"/>
      <c r="C49" s="18"/>
      <c r="D49" s="18"/>
      <c r="E49" s="18"/>
      <c r="F49" s="18"/>
      <c r="G49" s="18"/>
      <c r="H49" s="8"/>
      <c r="I49" s="8"/>
    </row>
  </sheetData>
  <mergeCells count="10">
    <mergeCell ref="B40:D40"/>
    <mergeCell ref="E40:G40"/>
    <mergeCell ref="A1:I1"/>
    <mergeCell ref="A2:I2"/>
    <mergeCell ref="E4:G4"/>
    <mergeCell ref="B4:D4"/>
    <mergeCell ref="B15:D15"/>
    <mergeCell ref="E15:G15"/>
    <mergeCell ref="B29:D29"/>
    <mergeCell ref="E29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 thapa</cp:lastModifiedBy>
  <cp:lastPrinted>2024-10-25T00:48:49Z</cp:lastPrinted>
  <dcterms:created xsi:type="dcterms:W3CDTF">2019-06-05T13:47:55Z</dcterms:created>
  <dcterms:modified xsi:type="dcterms:W3CDTF">2025-01-30T10:17:56Z</dcterms:modified>
</cp:coreProperties>
</file>