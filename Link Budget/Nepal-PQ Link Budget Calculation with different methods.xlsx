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istance Calculation" sheetId="1" state="visible" r:id="rId3"/>
    <sheet name="Uplink" sheetId="2" state="visible" r:id="rId4"/>
    <sheet name="Uplink using SNR Method" sheetId="3" state="visible" r:id="rId5"/>
    <sheet name="Downlink Using SNR Metho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<sst xmlns="http://schemas.openxmlformats.org/spreadsheetml/2006/main" count="204" uniqueCount="95">
  <si>
    <t xml:space="preserve">Nepal-PQ1 Satellite distance calculation</t>
  </si>
  <si>
    <t xml:space="preserve">Compiled By: Saurav Paudel, ORION Space (NPQ-COM-SAU-108)</t>
  </si>
  <si>
    <t xml:space="preserve">Radius of Earth</t>
  </si>
  <si>
    <t xml:space="preserve">R</t>
  </si>
  <si>
    <t xml:space="preserve">km</t>
  </si>
  <si>
    <t xml:space="preserve">Height of Orbit</t>
  </si>
  <si>
    <t xml:space="preserve">h</t>
  </si>
  <si>
    <t xml:space="preserve">x</t>
  </si>
  <si>
    <t xml:space="preserve">θ</t>
  </si>
  <si>
    <t xml:space="preserve">Distance</t>
  </si>
  <si>
    <t xml:space="preserve">Nepal-PQ1 Uplink Link Budget Analysis (NPQ-COM-SAU-108)</t>
  </si>
  <si>
    <t xml:space="preserve">Modulation Type: GFSK at 500 bps and Fdev=1kHz</t>
  </si>
  <si>
    <t xml:space="preserve">Compiled By: Saurav Paudel, ORION Space</t>
  </si>
  <si>
    <t xml:space="preserve">Elevation Angle</t>
  </si>
  <si>
    <t xml:space="preserve">Distance(km)</t>
  </si>
  <si>
    <t xml:space="preserve">FSPL (dB)</t>
  </si>
  <si>
    <t xml:space="preserve">Transmit EIRP dBW</t>
  </si>
  <si>
    <t xml:space="preserve">Transmit Power at Gt=2.2dBi</t>
  </si>
  <si>
    <t xml:space="preserve">Transmit Power(W)</t>
  </si>
  <si>
    <t xml:space="preserve">Frequency:</t>
  </si>
  <si>
    <t xml:space="preserve">MHz</t>
  </si>
  <si>
    <t xml:space="preserve">Distance:</t>
  </si>
  <si>
    <t xml:space="preserve">at 35 Degrees</t>
  </si>
  <si>
    <t xml:space="preserve">Transmit Power:</t>
  </si>
  <si>
    <t xml:space="preserve">W</t>
  </si>
  <si>
    <t xml:space="preserve">dBW</t>
  </si>
  <si>
    <t xml:space="preserve">GS</t>
  </si>
  <si>
    <t xml:space="preserve">Transmit Antenna Gain:</t>
  </si>
  <si>
    <t xml:space="preserve">dBi</t>
  </si>
  <si>
    <t xml:space="preserve">EIRP:</t>
  </si>
  <si>
    <t xml:space="preserve">Power+Antenna Gain</t>
  </si>
  <si>
    <t xml:space="preserve">Tranmission Loss at GS</t>
  </si>
  <si>
    <t xml:space="preserve">dB</t>
  </si>
  <si>
    <t xml:space="preserve">Uplink Path</t>
  </si>
  <si>
    <t xml:space="preserve">Free Space Path Loss:</t>
  </si>
  <si>
    <t xml:space="preserve">32.4+20log(d)+20log(f)</t>
  </si>
  <si>
    <t xml:space="preserve">`</t>
  </si>
  <si>
    <t xml:space="preserve">Antenna Pointing Loss:</t>
  </si>
  <si>
    <t xml:space="preserve">Antenna Polorization Loss:</t>
  </si>
  <si>
    <t xml:space="preserve">Atmospheric Loss:</t>
  </si>
  <si>
    <t xml:space="preserve">Ionospheric Loss:</t>
  </si>
  <si>
    <t xml:space="preserve">Rain Loss:</t>
  </si>
  <si>
    <t xml:space="preserve">Spacecraft</t>
  </si>
  <si>
    <t xml:space="preserve">Isotropic Signal Level at Spacecraft</t>
  </si>
  <si>
    <t xml:space="preserve">EIRP-Losses</t>
  </si>
  <si>
    <t xml:space="preserve">Spacecraft Antenna Pointing Loss</t>
  </si>
  <si>
    <t xml:space="preserve">Spacecraft Antenna Gain</t>
  </si>
  <si>
    <t xml:space="preserve">Spacecraft Line Loss</t>
  </si>
  <si>
    <t xml:space="preserve">Receiver Sensitivity</t>
  </si>
  <si>
    <t xml:space="preserve">dBm</t>
  </si>
  <si>
    <t xml:space="preserve">Received Power</t>
  </si>
  <si>
    <t xml:space="preserve">Link Margin</t>
  </si>
  <si>
    <t xml:space="preserve">Nepal-PQ1 Uplink Link Budget Analysis using SNR Method</t>
  </si>
  <si>
    <t xml:space="preserve">At around 25 degrees of elevation</t>
  </si>
  <si>
    <t xml:space="preserve">Pt</t>
  </si>
  <si>
    <t xml:space="preserve">Gt</t>
  </si>
  <si>
    <t xml:space="preserve">EIRP=Pt+Gt</t>
  </si>
  <si>
    <t xml:space="preserve">Spacecraft Noise Temperature</t>
  </si>
  <si>
    <t xml:space="preserve">K</t>
  </si>
  <si>
    <t xml:space="preserve">T</t>
  </si>
  <si>
    <t xml:space="preserve">Figure of Merit</t>
  </si>
  <si>
    <t xml:space="preserve">dB/K</t>
  </si>
  <si>
    <t xml:space="preserve">10*log10(G/T)</t>
  </si>
  <si>
    <t xml:space="preserve">Signal Power at Input of LNA</t>
  </si>
  <si>
    <t xml:space="preserve">Received Singal-Loss+Gain</t>
  </si>
  <si>
    <t xml:space="preserve">Spacecraft Receiver Bandwidth</t>
  </si>
  <si>
    <t xml:space="preserve">Hz</t>
  </si>
  <si>
    <t xml:space="preserve">Boltzman's Constant</t>
  </si>
  <si>
    <t xml:space="preserve">dbW/K/Hz</t>
  </si>
  <si>
    <t xml:space="preserve">Noise Power at Receiver</t>
  </si>
  <si>
    <t xml:space="preserve">Signal to Noise Power Receiver</t>
  </si>
  <si>
    <t xml:space="preserve">Required SNR</t>
  </si>
  <si>
    <t xml:space="preserve">Nepal-PQ1 Down Link Budget Analysis using SNR Method</t>
  </si>
  <si>
    <t xml:space="preserve">Orbital Altutude</t>
  </si>
  <si>
    <t xml:space="preserve">Deg</t>
  </si>
  <si>
    <t xml:space="preserve">EIRP</t>
  </si>
  <si>
    <t xml:space="preserve">Transmit Power-Gain-Loss</t>
  </si>
  <si>
    <t xml:space="preserve">GFSK(2K00F1D)</t>
  </si>
  <si>
    <t xml:space="preserve">CW Morse (500H A1A)</t>
  </si>
  <si>
    <t xml:space="preserve">RTTY FSK (515H F1B)</t>
  </si>
  <si>
    <t xml:space="preserve">Downlink Path</t>
  </si>
  <si>
    <t xml:space="preserve">Ground Station</t>
  </si>
  <si>
    <t xml:space="preserve">Isotropic Signal Level at GS</t>
  </si>
  <si>
    <t xml:space="preserve">GS Antenna Pointing Loss</t>
  </si>
  <si>
    <t xml:space="preserve">GS Antenna Gain</t>
  </si>
  <si>
    <t xml:space="preserve">GS Transmission Loss</t>
  </si>
  <si>
    <t xml:space="preserve">Ground Station Effective Noise Temperature:</t>
  </si>
  <si>
    <t xml:space="preserve">Ground Station Figure of Merrit (G/T):</t>
  </si>
  <si>
    <t xml:space="preserve">(=Gain-Losses-Noise temperature) in dB</t>
  </si>
  <si>
    <t xml:space="preserve">(=Signal Level at GS-Gain-Losses)</t>
  </si>
  <si>
    <t xml:space="preserve">Receiver Bandwidth</t>
  </si>
  <si>
    <t xml:space="preserve">Receiver Noise Power</t>
  </si>
  <si>
    <t xml:space="preserve">Pn = K + 10log(Ts) + 10log(B)</t>
  </si>
  <si>
    <t xml:space="preserve">SNR at Receiver</t>
  </si>
  <si>
    <t xml:space="preserve">Signal Power-Noise Power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</si>
</sst>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rgb="FF3F3F76"/>
      <name val="Calibri"/>
      <family val="0"/>
      <charset val="1"/>
    </font>
    <font>
      <b val="true"/>
      <sz val="11"/>
      <color rgb="FFFA7D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theme="1"/>
      <name val="Calibri"/>
      <family val="0"/>
    </font>
    <font>
      <sz val="11"/>
      <name val="Times New Roman"/>
      <family val="1"/>
    </font>
    <font>
      <sz val="11"/>
      <color theme="0"/>
      <name val="Calibri"/>
      <family val="0"/>
      <charset val="1"/>
    </font>
    <font>
      <sz val="11"/>
      <color rgb="FF1F497D"/>
      <name val="Calibri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1A1A1A"/>
      <name val="Calibri"/>
      <family val="2"/>
    </font>
    <font>
      <b val="true"/>
      <sz val="10"/>
      <color theme="0"/>
      <name val="Times New Roman"/>
      <family val="0"/>
      <charset val="1"/>
    </font>
    <font>
      <b val="true"/>
      <sz val="10"/>
      <color theme="1"/>
      <name val="Times New Roman"/>
      <family val="0"/>
      <charset val="1"/>
    </font>
    <font>
      <sz val="10"/>
      <color theme="1"/>
      <name val="Times New Roman"/>
      <family val="0"/>
      <charset val="1"/>
    </font>
    <font>
      <sz val="10"/>
      <color rgb="FF3F3F76"/>
      <name val="Times New Roman"/>
      <family val="0"/>
      <charset val="1"/>
    </font>
    <font>
      <i val="true"/>
      <sz val="10"/>
      <color rgb="FF7F7F7F"/>
      <name val="Times New Roman"/>
      <family val="0"/>
      <charset val="1"/>
    </font>
    <font>
      <b val="true"/>
      <sz val="10"/>
      <color rgb="FFFA7D00"/>
      <name val="Times New Roman"/>
      <family val="0"/>
      <charset val="1"/>
    </font>
    <font>
      <b val="true"/>
      <sz val="9"/>
      <color theme="0"/>
      <name val="Times New Roman"/>
      <family val="0"/>
      <charset val="1"/>
    </font>
    <font>
      <b val="true"/>
      <sz val="9"/>
      <color theme="1"/>
      <name val="Times New Roman"/>
      <family val="0"/>
      <charset val="1"/>
    </font>
    <font>
      <sz val="9"/>
      <color theme="1"/>
      <name val="Times New Roman"/>
      <family val="0"/>
      <charset val="1"/>
    </font>
    <font>
      <i val="true"/>
      <sz val="11"/>
      <color theme="1"/>
      <name val="Calibri"/>
      <family val="0"/>
      <charset val="1"/>
    </font>
    <font>
      <i val="true"/>
      <sz val="11"/>
      <color rgb="FF0F243E"/>
      <name val="Calibri"/>
      <family val="0"/>
      <charset val="1"/>
    </font>
    <font>
      <sz val="8"/>
      <color theme="1"/>
      <name val="Calibri"/>
      <family val="0"/>
    </font>
  </fonts>
  <fills count="20">
    <fill>
      <patternFill patternType="none"/>
    </fill>
    <fill>
      <patternFill patternType="gray125"/>
    </fill>
    <fill>
      <patternFill patternType="solid">
        <fgColor rgb="FFB2A1C7"/>
        <bgColor rgb="FFB7B7B7"/>
      </patternFill>
    </fill>
    <fill>
      <patternFill patternType="solid">
        <fgColor rgb="FFE5B8B7"/>
        <bgColor rgb="FFFABF8F"/>
      </patternFill>
    </fill>
    <fill>
      <patternFill patternType="solid">
        <fgColor rgb="FF76923C"/>
        <bgColor rgb="FF938953"/>
      </patternFill>
    </fill>
    <fill>
      <patternFill patternType="solid">
        <fgColor rgb="FF92CDDC"/>
        <bgColor rgb="FFB6DDE8"/>
      </patternFill>
    </fill>
    <fill>
      <patternFill patternType="solid">
        <fgColor rgb="FFFFCC99"/>
        <bgColor rgb="FFFABF8F"/>
      </patternFill>
    </fill>
    <fill>
      <patternFill patternType="solid">
        <fgColor rgb="FFF2F2F2"/>
        <bgColor rgb="FFFDE9D9"/>
      </patternFill>
    </fill>
    <fill>
      <patternFill patternType="solid">
        <fgColor rgb="FFC6D9F0"/>
        <bgColor rgb="FFB6DDE8"/>
      </patternFill>
    </fill>
    <fill>
      <patternFill patternType="solid">
        <fgColor rgb="FFC4BD97"/>
        <bgColor rgb="FFB7B7B7"/>
      </patternFill>
    </fill>
    <fill>
      <patternFill patternType="solid">
        <fgColor rgb="FFC2D69B"/>
        <bgColor rgb="FFC4BD97"/>
      </patternFill>
    </fill>
    <fill>
      <patternFill patternType="solid">
        <fgColor rgb="FF92D050"/>
        <bgColor rgb="FFC2D69B"/>
      </patternFill>
    </fill>
    <fill>
      <patternFill patternType="solid">
        <fgColor rgb="FFB6DDE8"/>
        <bgColor rgb="FFC6D9F0"/>
      </patternFill>
    </fill>
    <fill>
      <patternFill patternType="solid">
        <fgColor rgb="FFE36C09"/>
        <bgColor rgb="FFFA7D00"/>
      </patternFill>
    </fill>
    <fill>
      <patternFill patternType="solid">
        <fgColor rgb="FFFFC000"/>
        <bgColor rgb="FFFABF8F"/>
      </patternFill>
    </fill>
    <fill>
      <patternFill patternType="solid">
        <fgColor rgb="FF938953"/>
        <bgColor rgb="FF76923C"/>
      </patternFill>
    </fill>
    <fill>
      <patternFill patternType="solid">
        <fgColor rgb="FFFDE9D9"/>
        <bgColor rgb="FFF2F2F2"/>
      </patternFill>
    </fill>
    <fill>
      <patternFill patternType="solid">
        <fgColor rgb="FFFBD4B4"/>
        <bgColor rgb="FFFFCC99"/>
      </patternFill>
    </fill>
    <fill>
      <patternFill patternType="solid">
        <fgColor rgb="FFFABF8F"/>
        <bgColor rgb="FFFFCC99"/>
      </patternFill>
    </fill>
    <fill>
      <patternFill patternType="solid">
        <fgColor theme="8"/>
        <bgColor rgb="FF4F81B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1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1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1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16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1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1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C2D69B"/>
      <rgbColor rgb="FFFF00FF"/>
      <rgbColor rgb="FF00FFFF"/>
      <rgbColor rgb="FF800000"/>
      <rgbColor rgb="FF008000"/>
      <rgbColor rgb="FF000080"/>
      <rgbColor rgb="FF76923C"/>
      <rgbColor rgb="FF800080"/>
      <rgbColor rgb="FF008080"/>
      <rgbColor rgb="FFB7B7B7"/>
      <rgbColor rgb="FF7F7F7F"/>
      <rgbColor rgb="FFB2A1C7"/>
      <rgbColor rgb="FF993366"/>
      <rgbColor rgb="FFFDE9D9"/>
      <rgbColor rgb="FFF2F2F2"/>
      <rgbColor rgb="FF660066"/>
      <rgbColor rgb="FFFABF8F"/>
      <rgbColor rgb="FF1F497D"/>
      <rgbColor rgb="FFC6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6DDE8"/>
      <rgbColor rgb="FFD9D9D9"/>
      <rgbColor rgb="FFFBD4B4"/>
      <rgbColor rgb="FF92CDDC"/>
      <rgbColor rgb="FFE5B8B7"/>
      <rgbColor rgb="FFC4BD97"/>
      <rgbColor rgb="FFFFCC99"/>
      <rgbColor rgb="FF3366FF"/>
      <rgbColor rgb="FF4BACC6"/>
      <rgbColor rgb="FF92D050"/>
      <rgbColor rgb="FFFFC000"/>
      <rgbColor rgb="FFFA7D00"/>
      <rgbColor rgb="FFE36C09"/>
      <rgbColor rgb="FF4F81BD"/>
      <rgbColor rgb="FF8B8B8B"/>
      <rgbColor rgb="FF0F243E"/>
      <rgbColor rgb="FF938953"/>
      <rgbColor rgb="FF003300"/>
      <rgbColor rgb="FF333300"/>
      <rgbColor rgb="FF993300"/>
      <rgbColor rgb="FF993366"/>
      <rgbColor rgb="FF3F3F7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Uplink!$O$4:$O$13</c:f>
              <c:strCache>
                <c:ptCount val="10"/>
                <c:pt idx="0">
                  <c:v>168.398653267677</c:v>
                </c:pt>
                <c:pt idx="1">
                  <c:v>73.0024139416536</c:v>
                </c:pt>
                <c:pt idx="2">
                  <c:v>36.160011173415</c:v>
                </c:pt>
                <c:pt idx="3">
                  <c:v>21.0166709644467</c:v>
                </c:pt>
                <c:pt idx="4">
                  <c:v>13.9629055400503</c:v>
                </c:pt>
                <c:pt idx="5">
                  <c:v>10.3026498981637</c:v>
                </c:pt>
                <c:pt idx="6">
                  <c:v>8.26976497177979</c:v>
                </c:pt>
                <c:pt idx="7">
                  <c:v>7.12477916859039</c:v>
                </c:pt>
                <c:pt idx="8">
                  <c:v>6.53451421421027</c:v>
                </c:pt>
                <c:pt idx="9">
                  <c:v>6.35178987993585</c:v>
                </c:pt>
              </c:strCache>
            </c:strRef>
          </c:cat>
          <c:val>
            <c:numRef>
              <c:f>Uplink!$J$4:$J$13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800631"/>
        <c:axId val="26836284"/>
      </c:lineChart>
      <c:catAx>
        <c:axId val="978006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6836284"/>
        <c:crosses val="autoZero"/>
        <c:auto val="1"/>
        <c:lblAlgn val="ctr"/>
        <c:lblOffset val="100"/>
        <c:noMultiLvlLbl val="0"/>
      </c:catAx>
      <c:valAx>
        <c:axId val="2683628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Elevation Angle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78006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447480</xdr:colOff>
      <xdr:row>14</xdr:row>
      <xdr:rowOff>47520</xdr:rowOff>
    </xdr:from>
    <xdr:to>
      <xdr:col>7</xdr:col>
      <xdr:colOff>340200</xdr:colOff>
      <xdr:row>21</xdr:row>
      <xdr:rowOff>28440</xdr:rowOff>
    </xdr:to>
    <xdr:grpSp>
      <xdr:nvGrpSpPr>
        <xdr:cNvPr id="0" name="Shape 2"/>
        <xdr:cNvGrpSpPr/>
      </xdr:nvGrpSpPr>
      <xdr:grpSpPr>
        <a:xfrm>
          <a:off x="4777560" y="2743200"/>
          <a:ext cx="1285920" cy="1247760"/>
          <a:chOff x="4777560" y="2743200"/>
          <a:chExt cx="1285920" cy="1247760"/>
        </a:xfrm>
      </xdr:grpSpPr>
      <xdr:cxnSp>
        <xdr:nvCxnSpPr>
          <xdr:cNvPr id="1" name="Shape 3"/>
          <xdr:cNvCxnSpPr/>
        </xdr:nvCxnSpPr>
        <xdr:spPr>
          <a:xfrm flipV="1">
            <a:off x="4777560" y="2743200"/>
            <a:ext cx="1286280" cy="1248120"/>
          </a:xfrm>
          <a:prstGeom prst="straightConnector1">
            <a:avLst/>
          </a:prstGeom>
          <a:ln w="9525">
            <a:solidFill>
              <a:srgbClr val="000000"/>
            </a:solidFill>
            <a:prstDash val="dot"/>
            <a:round/>
          </a:ln>
        </xdr:spPr>
      </xdr:cxnSp>
    </xdr:grpSp>
    <xdr:clientData/>
  </xdr:twoCellAnchor>
  <xdr:twoCellAnchor editAs="oneCell">
    <xdr:from>
      <xdr:col>3</xdr:col>
      <xdr:colOff>142920</xdr:colOff>
      <xdr:row>11</xdr:row>
      <xdr:rowOff>114480</xdr:rowOff>
    </xdr:from>
    <xdr:to>
      <xdr:col>7</xdr:col>
      <xdr:colOff>561600</xdr:colOff>
      <xdr:row>29</xdr:row>
      <xdr:rowOff>123840</xdr:rowOff>
    </xdr:to>
    <xdr:grpSp>
      <xdr:nvGrpSpPr>
        <xdr:cNvPr id="2" name="Shape 2"/>
        <xdr:cNvGrpSpPr/>
      </xdr:nvGrpSpPr>
      <xdr:grpSpPr>
        <a:xfrm>
          <a:off x="2656080" y="2267280"/>
          <a:ext cx="3628800" cy="3266640"/>
          <a:chOff x="2656080" y="2267280"/>
          <a:chExt cx="3628800" cy="3266640"/>
        </a:xfrm>
      </xdr:grpSpPr>
      <xdr:grpSp>
        <xdr:nvGrpSpPr>
          <xdr:cNvPr id="3" name="Shape 5"/>
          <xdr:cNvGrpSpPr/>
        </xdr:nvGrpSpPr>
        <xdr:grpSpPr>
          <a:xfrm>
            <a:off x="2656080" y="2267280"/>
            <a:ext cx="3628800" cy="3266640"/>
            <a:chOff x="2656080" y="2267280"/>
            <a:chExt cx="3628800" cy="3266640"/>
          </a:xfrm>
        </xdr:grpSpPr>
        <xdr:sp>
          <xdr:nvSpPr>
            <xdr:cNvPr id="4" name="Shape 6"/>
            <xdr:cNvSpPr/>
          </xdr:nvSpPr>
          <xdr:spPr>
            <a:xfrm>
              <a:off x="2656080" y="2267280"/>
              <a:ext cx="3628800" cy="326664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5" name="Shape 4"/>
            <xdr:cNvSpPr/>
          </xdr:nvSpPr>
          <xdr:spPr>
            <a:xfrm>
              <a:off x="2656080" y="2267280"/>
              <a:ext cx="3628800" cy="3266640"/>
            </a:xfrm>
            <a:prstGeom prst="ellipse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round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6" name="Shape 7"/>
            <xdr:cNvSpPr/>
          </xdr:nvSpPr>
          <xdr:spPr>
            <a:xfrm>
              <a:off x="3592440" y="3223440"/>
              <a:ext cx="1789560" cy="1603080"/>
            </a:xfrm>
            <a:prstGeom prst="ellipse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round/>
            </a:ln>
          </xdr:spPr>
          <xdr:style>
            <a:lnRef idx="0"/>
            <a:fillRef idx="0"/>
            <a:effectRef idx="0"/>
            <a:fontRef idx="minor"/>
          </xdr:style>
        </xdr:sp>
        <xdr:cxnSp>
          <xdr:nvCxnSpPr>
            <xdr:cNvPr id="7" name="Shape 8"/>
            <xdr:cNvCxnSpPr/>
          </xdr:nvCxnSpPr>
          <xdr:spPr>
            <a:xfrm flipH="1">
              <a:off x="4461120" y="3223440"/>
              <a:ext cx="26280" cy="669240"/>
            </a:xfrm>
            <a:prstGeom prst="straightConnector1">
              <a:avLst/>
            </a:prstGeom>
            <a:ln w="9525">
              <a:solidFill>
                <a:srgbClr val="000000"/>
              </a:solidFill>
              <a:round/>
            </a:ln>
          </xdr:spPr>
        </xdr:cxnSp>
        <xdr:sp>
          <xdr:nvSpPr>
            <xdr:cNvPr id="8" name="Shape 9"/>
            <xdr:cNvSpPr/>
          </xdr:nvSpPr>
          <xdr:spPr>
            <a:xfrm>
              <a:off x="4745520" y="3134520"/>
              <a:ext cx="41400" cy="87120"/>
            </a:xfrm>
            <a:custGeom>
              <a:avLst/>
              <a:gdLst>
                <a:gd name="textAreaLeft" fmla="*/ 0 w 41400"/>
                <a:gd name="textAreaRight" fmla="*/ 41760 w 41400"/>
                <a:gd name="textAreaTop" fmla="*/ 0 h 87120"/>
                <a:gd name="textAreaBottom" fmla="*/ 87480 h 87120"/>
              </a:gdLst>
              <a:ahLst/>
              <a:rect l="textAreaLeft" t="textAreaTop" r="textAreaRight" b="textAreaBottom"/>
              <a:pathLst>
                <a:path w="57150" h="127000">
                  <a:moveTo>
                    <a:pt x="0" y="0"/>
                  </a:moveTo>
                  <a:cubicBezTo>
                    <a:pt x="10583" y="10583"/>
                    <a:pt x="23715" y="19123"/>
                    <a:pt x="31750" y="31750"/>
                  </a:cubicBezTo>
                  <a:cubicBezTo>
                    <a:pt x="38937" y="43044"/>
                    <a:pt x="40217" y="57150"/>
                    <a:pt x="44450" y="69850"/>
                  </a:cubicBezTo>
                  <a:cubicBezTo>
                    <a:pt x="47444" y="78833"/>
                    <a:pt x="57150" y="106327"/>
                    <a:pt x="57150" y="114300"/>
                  </a:cubicBezTo>
                  <a:cubicBezTo>
                    <a:pt x="57150" y="119033"/>
                    <a:pt x="52917" y="122767"/>
                    <a:pt x="50800" y="127000"/>
                  </a:cubicBezTo>
                </a:path>
              </a:pathLst>
            </a:custGeom>
            <a:noFill/>
            <a:ln w="9525">
              <a:solidFill>
                <a:srgbClr val="4a7dba"/>
              </a:solidFill>
              <a:round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9" name="Shape 10"/>
            <xdr:cNvSpPr/>
          </xdr:nvSpPr>
          <xdr:spPr>
            <a:xfrm>
              <a:off x="4815000" y="3015000"/>
              <a:ext cx="236520" cy="213840"/>
            </a:xfrm>
            <a:prstGeom prst="rect">
              <a:avLst/>
            </a:prstGeom>
            <a:solidFill>
              <a:srgbClr val="ffffff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anchor="t">
              <a:noAutofit/>
            </a:bodyPr>
            <a:p>
              <a:pPr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100" spc="-1" strike="noStrike">
                  <a:solidFill>
                    <a:schemeClr val="dk1"/>
                  </a:solidFill>
                  <a:latin typeface="Calibri"/>
                  <a:ea typeface="Calibri"/>
                </a:rPr>
                <a:t>θ</a:t>
              </a:r>
              <a:endParaRPr b="0" lang="en-US" sz="1100" spc="-1" strike="noStrike">
                <a:latin typeface="Times New Roman"/>
              </a:endParaRPr>
            </a:p>
          </xdr:txBody>
        </xdr:sp>
        <xdr:sp>
          <xdr:nvSpPr>
            <xdr:cNvPr id="10" name="Shape 11"/>
            <xdr:cNvSpPr/>
          </xdr:nvSpPr>
          <xdr:spPr>
            <a:xfrm>
              <a:off x="5516640" y="3392640"/>
              <a:ext cx="236520" cy="213840"/>
            </a:xfrm>
            <a:prstGeom prst="rect">
              <a:avLst/>
            </a:prstGeom>
            <a:solidFill>
              <a:srgbClr val="ffffff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anchor="t">
              <a:noAutofit/>
            </a:bodyPr>
            <a:p>
              <a:pPr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100" spc="-1" strike="noStrike">
                  <a:solidFill>
                    <a:schemeClr val="dk1"/>
                  </a:solidFill>
                  <a:latin typeface="Calibri"/>
                  <a:ea typeface="Calibri"/>
                </a:rPr>
                <a:t>h</a:t>
              </a:r>
              <a:endParaRPr b="0" lang="en-US" sz="1100" spc="-1" strike="noStrike">
                <a:latin typeface="Times New Roman"/>
              </a:endParaRPr>
            </a:p>
          </xdr:txBody>
        </xdr:sp>
        <xdr:sp>
          <xdr:nvSpPr>
            <xdr:cNvPr id="11" name="Shape 12"/>
            <xdr:cNvSpPr/>
          </xdr:nvSpPr>
          <xdr:spPr>
            <a:xfrm>
              <a:off x="4898520" y="3672360"/>
              <a:ext cx="236520" cy="213840"/>
            </a:xfrm>
            <a:prstGeom prst="rect">
              <a:avLst/>
            </a:prstGeom>
            <a:solidFill>
              <a:srgbClr val="ffffff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anchor="t">
              <a:noAutofit/>
            </a:bodyPr>
            <a:p>
              <a:pPr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100" spc="-1" strike="noStrike">
                  <a:solidFill>
                    <a:schemeClr val="dk1"/>
                  </a:solidFill>
                  <a:latin typeface="Calibri"/>
                  <a:ea typeface="Calibri"/>
                </a:rPr>
                <a:t>R</a:t>
              </a:r>
              <a:endParaRPr b="0" lang="en-US" sz="1100" spc="-1" strike="noStrike">
                <a:latin typeface="Times New Roman"/>
              </a:endParaRPr>
            </a:p>
          </xdr:txBody>
        </xdr:sp>
        <xdr:cxnSp>
          <xdr:nvCxnSpPr>
            <xdr:cNvPr id="12" name="Shape 13"/>
            <xdr:cNvCxnSpPr/>
          </xdr:nvCxnSpPr>
          <xdr:spPr>
            <a:xfrm flipV="1">
              <a:off x="4466520" y="3217320"/>
              <a:ext cx="1630800" cy="682560"/>
            </a:xfrm>
            <a:prstGeom prst="straightConnector1">
              <a:avLst/>
            </a:prstGeom>
            <a:ln w="9525">
              <a:solidFill>
                <a:srgbClr val="000000"/>
              </a:solidFill>
              <a:round/>
            </a:ln>
          </xdr:spPr>
        </xdr:cxnSp>
        <xdr:sp>
          <xdr:nvSpPr>
            <xdr:cNvPr id="13" name="Shape 14"/>
            <xdr:cNvSpPr/>
          </xdr:nvSpPr>
          <xdr:spPr>
            <a:xfrm>
              <a:off x="5511960" y="3001320"/>
              <a:ext cx="236520" cy="213840"/>
            </a:xfrm>
            <a:prstGeom prst="rect">
              <a:avLst/>
            </a:prstGeom>
            <a:solidFill>
              <a:srgbClr val="ffffff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anchor="t">
              <a:noAutofit/>
            </a:bodyPr>
            <a:p>
              <a:pPr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100" spc="-1" strike="noStrike">
                  <a:solidFill>
                    <a:schemeClr val="dk1"/>
                  </a:solidFill>
                  <a:latin typeface="Calibri"/>
                  <a:ea typeface="Calibri"/>
                </a:rPr>
                <a:t>x</a:t>
              </a:r>
              <a:endParaRPr b="0" lang="en-US" sz="1100" spc="-1" strike="noStrike">
                <a:latin typeface="Times New Roman"/>
              </a:endParaRPr>
            </a:p>
          </xdr:txBody>
        </xdr:sp>
        <xdr:cxnSp>
          <xdr:nvCxnSpPr>
            <xdr:cNvPr id="14" name="Shape 15"/>
            <xdr:cNvCxnSpPr/>
          </xdr:nvCxnSpPr>
          <xdr:spPr>
            <a:xfrm>
              <a:off x="4455000" y="3221640"/>
              <a:ext cx="1656360" cy="360"/>
            </a:xfrm>
            <a:prstGeom prst="straightConnector1">
              <a:avLst/>
            </a:prstGeom>
            <a:ln w="9525">
              <a:solidFill>
                <a:srgbClr val="000000"/>
              </a:solidFill>
              <a:round/>
            </a:ln>
          </xdr:spPr>
        </xdr:cxnSp>
        <xdr:sp>
          <xdr:nvSpPr>
            <xdr:cNvPr id="15" name="Shape 16"/>
            <xdr:cNvSpPr/>
          </xdr:nvSpPr>
          <xdr:spPr>
            <a:xfrm>
              <a:off x="5072400" y="2739600"/>
              <a:ext cx="236520" cy="213840"/>
            </a:xfrm>
            <a:prstGeom prst="rect">
              <a:avLst/>
            </a:prstGeom>
            <a:solidFill>
              <a:srgbClr val="ffffff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anchor="t">
              <a:noAutofit/>
            </a:bodyPr>
            <a:p>
              <a:pPr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100" spc="-1" strike="noStrike">
                  <a:solidFill>
                    <a:schemeClr val="dk1"/>
                  </a:solidFill>
                  <a:latin typeface="Calibri"/>
                  <a:ea typeface="Calibri"/>
                </a:rPr>
                <a:t>y</a:t>
              </a:r>
              <a:endParaRPr b="0" lang="en-US" sz="1100" spc="-1" strike="noStrike">
                <a:latin typeface="Times New Roman"/>
              </a:endParaRPr>
            </a:p>
          </xdr:txBody>
        </xdr:sp>
        <xdr:cxnSp>
          <xdr:nvCxnSpPr>
            <xdr:cNvPr id="16" name="Shape 17"/>
            <xdr:cNvCxnSpPr/>
          </xdr:nvCxnSpPr>
          <xdr:spPr>
            <a:xfrm flipV="1">
              <a:off x="4487040" y="2745360"/>
              <a:ext cx="1266840" cy="478440"/>
            </a:xfrm>
            <a:prstGeom prst="straightConnector1">
              <a:avLst/>
            </a:prstGeom>
            <a:ln w="9525">
              <a:solidFill>
                <a:srgbClr val="000000"/>
              </a:solidFill>
              <a:prstDash val="dot"/>
              <a:round/>
            </a:ln>
          </xdr:spPr>
        </xdr:cxnSp>
        <xdr:sp>
          <xdr:nvSpPr>
            <xdr:cNvPr id="17" name="Shape 18"/>
            <xdr:cNvSpPr/>
          </xdr:nvSpPr>
          <xdr:spPr>
            <a:xfrm>
              <a:off x="3645720" y="4831560"/>
              <a:ext cx="1854000" cy="60768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anchor="t">
              <a:noAutofit/>
            </a:bodyPr>
            <a:p>
              <a:pPr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100" spc="-1" strike="noStrike">
                  <a:solidFill>
                    <a:schemeClr val="dk1"/>
                  </a:solidFill>
                  <a:latin typeface="Calibri"/>
                  <a:ea typeface="Calibri"/>
                </a:rPr>
                <a:t>R= Radius of Earth</a:t>
              </a:r>
              <a:endParaRPr b="0" lang="en-US" sz="1100" spc="-1" strike="noStrike">
                <a:latin typeface="Times New Roman"/>
              </a:endParaRPr>
            </a:p>
            <a:p>
              <a:pPr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100" spc="-1" strike="noStrike">
                  <a:solidFill>
                    <a:schemeClr val="dk1"/>
                  </a:solidFill>
                  <a:latin typeface="Calibri"/>
                  <a:ea typeface="Calibri"/>
                </a:rPr>
                <a:t>h= Orbital Altitude</a:t>
              </a:r>
              <a:endParaRPr b="0" lang="en-US" sz="1100" spc="-1" strike="noStrike">
                <a:latin typeface="Times New Roman"/>
              </a:endParaRPr>
            </a:p>
            <a:p>
              <a:pPr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100" spc="-1" strike="noStrike">
                  <a:solidFill>
                    <a:schemeClr val="dk1"/>
                  </a:solidFill>
                  <a:latin typeface="Calibri"/>
                  <a:ea typeface="Calibri"/>
                </a:rPr>
                <a:t>x= Altitude at Horizon</a:t>
              </a:r>
              <a:endParaRPr b="0" lang="en-US" sz="1100" spc="-1" strike="noStrike">
                <a:latin typeface="Times New Roman"/>
              </a:endParaRPr>
            </a:p>
            <a:p>
              <a:pPr>
                <a:lnSpc>
                  <a:spcPct val="100000"/>
                </a:lnSpc>
                <a:tabLst>
                  <a:tab algn="l" pos="0"/>
                </a:tabLst>
              </a:pPr>
              <a:r>
                <a:rPr b="0" lang="en-US" sz="1100" spc="-1" strike="noStrike">
                  <a:solidFill>
                    <a:schemeClr val="dk1"/>
                  </a:solidFill>
                  <a:latin typeface="Calibri"/>
                  <a:ea typeface="Calibri"/>
                </a:rPr>
                <a:t>y= Altitude at Elevation θ</a:t>
              </a:r>
              <a:endParaRPr b="0" lang="en-US" sz="1100" spc="-1" strike="noStrike">
                <a:latin typeface="Times New Roman"/>
              </a:endParaRPr>
            </a:p>
          </xdr:txBody>
        </xdr:sp>
      </xdr:grpSp>
    </xdr:grpSp>
    <xdr:clientData/>
  </xdr:twoCellAnchor>
  <xdr:twoCellAnchor editAs="oneCell">
    <xdr:from>
      <xdr:col>0</xdr:col>
      <xdr:colOff>552600</xdr:colOff>
      <xdr:row>4</xdr:row>
      <xdr:rowOff>47520</xdr:rowOff>
    </xdr:from>
    <xdr:to>
      <xdr:col>3</xdr:col>
      <xdr:colOff>620280</xdr:colOff>
      <xdr:row>13</xdr:row>
      <xdr:rowOff>94680</xdr:rowOff>
    </xdr:to>
    <xdr:sp>
      <xdr:nvSpPr>
        <xdr:cNvPr id="18" name="Shape 19"/>
        <xdr:cNvSpPr/>
      </xdr:nvSpPr>
      <xdr:spPr>
        <a:xfrm>
          <a:off x="552600" y="771480"/>
          <a:ext cx="2580840" cy="1837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3</xdr:col>
      <xdr:colOff>342720</xdr:colOff>
      <xdr:row>16</xdr:row>
      <xdr:rowOff>142560</xdr:rowOff>
    </xdr:from>
    <xdr:to>
      <xdr:col>5</xdr:col>
      <xdr:colOff>183240</xdr:colOff>
      <xdr:row>16</xdr:row>
      <xdr:rowOff>142560</xdr:rowOff>
    </xdr:to>
    <xdr:grpSp>
      <xdr:nvGrpSpPr>
        <xdr:cNvPr id="19" name="Shape 2"/>
        <xdr:cNvGrpSpPr/>
      </xdr:nvGrpSpPr>
      <xdr:grpSpPr>
        <a:xfrm>
          <a:off x="2855880" y="3200040"/>
          <a:ext cx="1657440" cy="0"/>
          <a:chOff x="2855880" y="3200040"/>
          <a:chExt cx="1657440" cy="0"/>
        </a:xfrm>
      </xdr:grpSpPr>
      <xdr:cxnSp>
        <xdr:nvCxnSpPr>
          <xdr:cNvPr id="20" name="Shape 20"/>
          <xdr:cNvCxnSpPr/>
        </xdr:nvCxnSpPr>
        <xdr:spPr>
          <a:xfrm>
            <a:off x="2855880" y="3200040"/>
            <a:ext cx="1657800" cy="360"/>
          </a:xfrm>
          <a:prstGeom prst="straightConnector1">
            <a:avLst/>
          </a:prstGeom>
          <a:ln w="9525">
            <a:solidFill>
              <a:srgbClr val="000000"/>
            </a:solidFill>
            <a:prstDash val="dash"/>
            <a:round/>
          </a:ln>
        </xdr:spPr>
      </xdr:cxnSp>
    </xdr:grpSp>
    <xdr:clientData/>
  </xdr:twoCellAnchor>
  <xdr:twoCellAnchor editAs="oneCell">
    <xdr:from>
      <xdr:col>5</xdr:col>
      <xdr:colOff>171360</xdr:colOff>
      <xdr:row>21</xdr:row>
      <xdr:rowOff>38160</xdr:rowOff>
    </xdr:from>
    <xdr:to>
      <xdr:col>6</xdr:col>
      <xdr:colOff>112680</xdr:colOff>
      <xdr:row>23</xdr:row>
      <xdr:rowOff>142560</xdr:rowOff>
    </xdr:to>
    <xdr:sp>
      <xdr:nvSpPr>
        <xdr:cNvPr id="21" name="Shape 21"/>
        <xdr:cNvSpPr/>
      </xdr:nvSpPr>
      <xdr:spPr>
        <a:xfrm>
          <a:off x="4501440" y="4000680"/>
          <a:ext cx="637920" cy="466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Calibri"/>
              <a:ea typeface="Calibri"/>
            </a:rPr>
            <a:t>Earth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7</xdr:col>
      <xdr:colOff>523800</xdr:colOff>
      <xdr:row>13</xdr:row>
      <xdr:rowOff>123840</xdr:rowOff>
    </xdr:from>
    <xdr:to>
      <xdr:col>7</xdr:col>
      <xdr:colOff>666360</xdr:colOff>
      <xdr:row>14</xdr:row>
      <xdr:rowOff>104400</xdr:rowOff>
    </xdr:to>
    <xdr:sp>
      <xdr:nvSpPr>
        <xdr:cNvPr id="22" name="Shape 22"/>
        <xdr:cNvSpPr/>
      </xdr:nvSpPr>
      <xdr:spPr>
        <a:xfrm rot="19377600">
          <a:off x="6247080" y="2638440"/>
          <a:ext cx="142560" cy="16164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333360</xdr:colOff>
      <xdr:row>16</xdr:row>
      <xdr:rowOff>86040</xdr:rowOff>
    </xdr:from>
    <xdr:to>
      <xdr:col>8</xdr:col>
      <xdr:colOff>466200</xdr:colOff>
      <xdr:row>17</xdr:row>
      <xdr:rowOff>66600</xdr:rowOff>
    </xdr:to>
    <xdr:sp>
      <xdr:nvSpPr>
        <xdr:cNvPr id="23" name="Shape 23"/>
        <xdr:cNvSpPr/>
      </xdr:nvSpPr>
      <xdr:spPr>
        <a:xfrm rot="21288600">
          <a:off x="6752880" y="3143160"/>
          <a:ext cx="132840" cy="16164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361800</xdr:colOff>
      <xdr:row>13</xdr:row>
      <xdr:rowOff>162000</xdr:rowOff>
    </xdr:from>
    <xdr:to>
      <xdr:col>5</xdr:col>
      <xdr:colOff>447480</xdr:colOff>
      <xdr:row>13</xdr:row>
      <xdr:rowOff>162000</xdr:rowOff>
    </xdr:to>
    <xdr:grpSp>
      <xdr:nvGrpSpPr>
        <xdr:cNvPr id="24" name="Shape 2"/>
        <xdr:cNvGrpSpPr/>
      </xdr:nvGrpSpPr>
      <xdr:grpSpPr>
        <a:xfrm>
          <a:off x="4691880" y="2676600"/>
          <a:ext cx="85680" cy="0"/>
          <a:chOff x="4691880" y="2676600"/>
          <a:chExt cx="85680" cy="0"/>
        </a:xfrm>
      </xdr:grpSpPr>
      <xdr:cxnSp>
        <xdr:nvCxnSpPr>
          <xdr:cNvPr id="25" name="Shape 24"/>
          <xdr:cNvCxnSpPr/>
        </xdr:nvCxnSpPr>
        <xdr:spPr>
          <a:xfrm flipH="1">
            <a:off x="4691880" y="2676600"/>
            <a:ext cx="86040" cy="360"/>
          </a:xfrm>
          <a:prstGeom prst="straightConnector1">
            <a:avLst/>
          </a:prstGeom>
          <a:ln w="9525">
            <a:solidFill>
              <a:srgbClr val="000000"/>
            </a:solidFill>
            <a:round/>
            <a:tailEnd len="med" type="stealth" w="med"/>
          </a:ln>
        </xdr:spPr>
      </xdr:cxnSp>
    </xdr:grpSp>
    <xdr:clientData/>
  </xdr:twoCellAnchor>
  <xdr:twoCellAnchor editAs="oneCell">
    <xdr:from>
      <xdr:col>3</xdr:col>
      <xdr:colOff>209880</xdr:colOff>
      <xdr:row>16</xdr:row>
      <xdr:rowOff>86040</xdr:rowOff>
    </xdr:from>
    <xdr:to>
      <xdr:col>3</xdr:col>
      <xdr:colOff>342720</xdr:colOff>
      <xdr:row>17</xdr:row>
      <xdr:rowOff>66600</xdr:rowOff>
    </xdr:to>
    <xdr:sp>
      <xdr:nvSpPr>
        <xdr:cNvPr id="26" name="Shape 23"/>
        <xdr:cNvSpPr/>
      </xdr:nvSpPr>
      <xdr:spPr>
        <a:xfrm rot="21288600">
          <a:off x="2722680" y="3143160"/>
          <a:ext cx="132840" cy="16164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409680</xdr:colOff>
      <xdr:row>16</xdr:row>
      <xdr:rowOff>85680</xdr:rowOff>
    </xdr:from>
    <xdr:to>
      <xdr:col>14</xdr:col>
      <xdr:colOff>265320</xdr:colOff>
      <xdr:row>31</xdr:row>
      <xdr:rowOff>104040</xdr:rowOff>
    </xdr:to>
    <xdr:graphicFrame>
      <xdr:nvGraphicFramePr>
        <xdr:cNvPr id="27" name="Chart 1"/>
        <xdr:cNvGraphicFramePr/>
      </xdr:nvGraphicFramePr>
      <xdr:xfrm>
        <a:off x="7645680" y="2981160"/>
        <a:ext cx="5466960" cy="275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333360</xdr:colOff>
      <xdr:row>5</xdr:row>
      <xdr:rowOff>0</xdr:rowOff>
    </xdr:from>
    <xdr:to>
      <xdr:col>6</xdr:col>
      <xdr:colOff>1531080</xdr:colOff>
      <xdr:row>5</xdr:row>
      <xdr:rowOff>342720</xdr:rowOff>
    </xdr:to>
    <xdr:sp>
      <xdr:nvSpPr>
        <xdr:cNvPr id="28" name="Shape 25"/>
        <xdr:cNvSpPr/>
      </xdr:nvSpPr>
      <xdr:spPr>
        <a:xfrm>
          <a:off x="4743360" y="905040"/>
          <a:ext cx="16092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800" spc="-1" strike="noStrike">
              <a:solidFill>
                <a:schemeClr val="dk1"/>
              </a:solidFill>
              <a:latin typeface="Calibri"/>
              <a:ea typeface="Calibri"/>
            </a:rPr>
            <a:t>=</a:t>
          </a:r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8.71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4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4.2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</row>
    <row r="4" customFormat="false" ht="14.25" hidden="false" customHeight="true" outlineLevel="0" collapsed="false">
      <c r="A4" s="3"/>
      <c r="B4" s="3"/>
      <c r="C4" s="3"/>
      <c r="D4" s="3"/>
      <c r="E4" s="3"/>
      <c r="F4" s="3"/>
      <c r="G4" s="3"/>
    </row>
    <row r="5" customFormat="false" ht="14.25" hidden="false" customHeight="true" outlineLevel="0" collapsed="false">
      <c r="A5" s="4"/>
      <c r="B5" s="4"/>
      <c r="C5" s="4"/>
      <c r="D5" s="4"/>
      <c r="E5" s="4"/>
      <c r="F5" s="4"/>
      <c r="G5" s="4"/>
    </row>
    <row r="6" customFormat="false" ht="14.25" hidden="false" customHeight="true" outlineLevel="0" collapsed="false">
      <c r="A6" s="4"/>
      <c r="B6" s="4"/>
      <c r="C6" s="4"/>
      <c r="D6" s="4"/>
      <c r="E6" s="4"/>
      <c r="F6" s="4"/>
      <c r="G6" s="4"/>
    </row>
    <row r="7" customFormat="false" ht="14.25" hidden="false" customHeight="true" outlineLevel="0" collapsed="false">
      <c r="A7" s="4"/>
      <c r="B7" s="4"/>
      <c r="C7" s="4"/>
      <c r="D7" s="4"/>
      <c r="E7" s="4"/>
      <c r="F7" s="4"/>
      <c r="G7" s="4"/>
    </row>
    <row r="8" customFormat="false" ht="14.25" hidden="false" customHeight="true" outlineLevel="0" collapsed="false">
      <c r="A8" s="4"/>
      <c r="B8" s="4"/>
      <c r="C8" s="4"/>
      <c r="D8" s="4"/>
      <c r="E8" s="4"/>
      <c r="F8" s="4"/>
      <c r="G8" s="4"/>
    </row>
    <row r="9" customFormat="false" ht="14.25" hidden="false" customHeight="true" outlineLevel="0" collapsed="false">
      <c r="A9" s="4"/>
      <c r="B9" s="4"/>
      <c r="C9" s="4"/>
      <c r="D9" s="4"/>
      <c r="E9" s="4"/>
      <c r="F9" s="4"/>
      <c r="G9" s="4"/>
    </row>
    <row r="10" customFormat="false" ht="14.25" hidden="false" customHeight="true" outlineLevel="0" collapsed="false">
      <c r="A10" s="4"/>
      <c r="B10" s="4"/>
      <c r="C10" s="4"/>
      <c r="D10" s="4"/>
      <c r="E10" s="4"/>
      <c r="F10" s="4"/>
      <c r="G10" s="4"/>
    </row>
    <row r="11" customFormat="false" ht="27" hidden="false" customHeight="true" outlineLevel="0" collapsed="false">
      <c r="A11" s="4"/>
      <c r="B11" s="4"/>
      <c r="C11" s="4"/>
      <c r="D11" s="4"/>
      <c r="E11" s="4"/>
      <c r="F11" s="4"/>
      <c r="G11" s="4"/>
    </row>
    <row r="12" customFormat="false" ht="14.25" hidden="false" customHeight="true" outlineLevel="0" collapsed="false">
      <c r="A12" s="4"/>
      <c r="B12" s="4"/>
      <c r="C12" s="4"/>
      <c r="D12" s="4"/>
      <c r="E12" s="4"/>
      <c r="F12" s="4"/>
      <c r="G12" s="4"/>
    </row>
    <row r="13" customFormat="false" ht="14.25" hidden="false" customHeight="true" outlineLevel="0" collapsed="false">
      <c r="A13" s="4"/>
      <c r="B13" s="4"/>
      <c r="C13" s="4"/>
      <c r="D13" s="4"/>
      <c r="E13" s="4"/>
      <c r="F13" s="4"/>
      <c r="G13" s="4"/>
    </row>
    <row r="14" customFormat="false" ht="14.25" hidden="false" customHeight="true" outlineLevel="0" collapsed="false">
      <c r="A14" s="4"/>
      <c r="B14" s="4"/>
      <c r="C14" s="4"/>
      <c r="D14" s="4"/>
      <c r="E14" s="4"/>
      <c r="F14" s="4"/>
      <c r="G14" s="4"/>
    </row>
    <row r="15" customFormat="false" ht="14.25" hidden="false" customHeight="true" outlineLevel="0" collapsed="false">
      <c r="A15" s="5" t="s">
        <v>2</v>
      </c>
      <c r="B15" s="5" t="s">
        <v>3</v>
      </c>
      <c r="C15" s="5" t="n">
        <v>6378</v>
      </c>
      <c r="D15" s="5" t="s">
        <v>4</v>
      </c>
      <c r="E15" s="6"/>
      <c r="F15" s="6"/>
      <c r="G15" s="6"/>
    </row>
    <row r="16" customFormat="false" ht="14.25" hidden="false" customHeight="true" outlineLevel="0" collapsed="false">
      <c r="A16" s="7" t="s">
        <v>5</v>
      </c>
      <c r="B16" s="7" t="s">
        <v>6</v>
      </c>
      <c r="C16" s="8" t="n">
        <v>500</v>
      </c>
      <c r="D16" s="7" t="s">
        <v>4</v>
      </c>
      <c r="E16" s="7"/>
      <c r="F16" s="9"/>
      <c r="G16" s="9"/>
    </row>
    <row r="17" customFormat="false" ht="14.25" hidden="false" customHeight="true" outlineLevel="0" collapsed="false">
      <c r="A17" s="7"/>
      <c r="B17" s="7" t="s">
        <v>7</v>
      </c>
      <c r="C17" s="10" t="n">
        <f aca="false">((C15+C16)^2-C15^2)^0.5</f>
        <v>2574.490241</v>
      </c>
      <c r="D17" s="7" t="s">
        <v>4</v>
      </c>
      <c r="E17" s="7"/>
      <c r="F17" s="9"/>
      <c r="G17" s="9"/>
    </row>
    <row r="18" customFormat="false" ht="14.25" hidden="false" customHeight="true" outlineLevel="0" collapsed="false">
      <c r="C18" s="3"/>
      <c r="D18" s="3"/>
      <c r="E18" s="3"/>
      <c r="F18" s="3"/>
      <c r="G18" s="3"/>
      <c r="H18" s="3"/>
    </row>
    <row r="19" customFormat="false" ht="14.25" hidden="false" customHeight="true" outlineLevel="0" collapsed="false">
      <c r="A19" s="11" t="s">
        <v>8</v>
      </c>
      <c r="B19" s="12" t="s">
        <v>9</v>
      </c>
      <c r="C19" s="3"/>
      <c r="D19" s="3"/>
      <c r="E19" s="3"/>
      <c r="F19" s="3"/>
      <c r="G19" s="3"/>
      <c r="H19" s="3"/>
    </row>
    <row r="20" customFormat="false" ht="14.25" hidden="false" customHeight="true" outlineLevel="0" collapsed="false">
      <c r="A20" s="13" t="n">
        <v>0</v>
      </c>
      <c r="B20" s="14" t="n">
        <f aca="false">C15*((((((C15+C16)^2)/C15^2)-COS(A20/57.2958)^2))^0.5-SIN(A20/57.2958))</f>
        <v>2574.490241</v>
      </c>
      <c r="C20" s="3"/>
      <c r="D20" s="3"/>
      <c r="E20" s="3"/>
      <c r="F20" s="3"/>
      <c r="G20" s="3"/>
      <c r="H20" s="3"/>
    </row>
    <row r="21" customFormat="false" ht="14.25" hidden="false" customHeight="true" outlineLevel="0" collapsed="false">
      <c r="A21" s="13" t="n">
        <v>10</v>
      </c>
      <c r="B21" s="14" t="n">
        <f aca="false">C15*((((((C15+C16)^2)/C15^2)-COS(A21/57.2958)^2))^0.5-SIN(A21/57.2958))</f>
        <v>1695.08138</v>
      </c>
      <c r="C21" s="3"/>
      <c r="D21" s="3"/>
      <c r="E21" s="3"/>
      <c r="F21" s="3"/>
      <c r="G21" s="3"/>
      <c r="H21" s="3"/>
    </row>
    <row r="22" customFormat="false" ht="14.25" hidden="false" customHeight="true" outlineLevel="0" collapsed="false">
      <c r="A22" s="13" t="n">
        <v>20</v>
      </c>
      <c r="B22" s="14" t="n">
        <f aca="false">C15*((((((C15+C16)^2)/C15^2)-COS(A22/57.2958)^2))^0.5-SIN(A22/57.2958))</f>
        <v>1192.988399</v>
      </c>
      <c r="C22" s="3"/>
      <c r="D22" s="3"/>
      <c r="E22" s="3"/>
      <c r="F22" s="3"/>
      <c r="G22" s="3"/>
      <c r="H22" s="3"/>
    </row>
    <row r="23" customFormat="false" ht="14.25" hidden="false" customHeight="true" outlineLevel="0" collapsed="false">
      <c r="A23" s="13" t="n">
        <v>30</v>
      </c>
      <c r="B23" s="14" t="n">
        <f aca="false">C15*((((((C15+C16)^2)/C15^2)-COS(A23/57.2958)^2))^0.5-SIN(A23/57.2958))</f>
        <v>909.5025169</v>
      </c>
      <c r="C23" s="3"/>
      <c r="D23" s="3"/>
      <c r="E23" s="3"/>
      <c r="F23" s="3"/>
      <c r="G23" s="3"/>
      <c r="H23" s="3"/>
    </row>
    <row r="24" customFormat="false" ht="14.25" hidden="false" customHeight="true" outlineLevel="0" collapsed="false">
      <c r="A24" s="13" t="n">
        <v>40</v>
      </c>
      <c r="B24" s="14" t="n">
        <f aca="false">C15*((((((C15+C16)^2)/C15^2)-COS(A24/57.2958)^2))^0.5-SIN(A24/57.2958))</f>
        <v>741.3270424</v>
      </c>
      <c r="C24" s="3"/>
      <c r="D24" s="3"/>
      <c r="E24" s="3"/>
      <c r="F24" s="3"/>
      <c r="G24" s="3"/>
      <c r="H24" s="3"/>
    </row>
    <row r="25" customFormat="false" ht="14.25" hidden="false" customHeight="true" outlineLevel="0" collapsed="false">
      <c r="A25" s="13" t="n">
        <v>50</v>
      </c>
      <c r="B25" s="14" t="n">
        <f aca="false">C15*((((((C15+C16)^2)/C15^2)-COS(A25/57.2958)^2))^0.5-SIN(A25/57.2958))</f>
        <v>636.7902622</v>
      </c>
      <c r="C25" s="3"/>
      <c r="D25" s="3"/>
      <c r="E25" s="3"/>
      <c r="F25" s="3"/>
      <c r="G25" s="3"/>
      <c r="H25" s="3"/>
    </row>
    <row r="26" customFormat="false" ht="14.25" hidden="false" customHeight="true" outlineLevel="0" collapsed="false">
      <c r="A26" s="13" t="n">
        <v>60</v>
      </c>
      <c r="B26" s="14" t="n">
        <f aca="false">C15*((((((C15+C16)^2)/C15^2)-COS(A26/57.2958)^2))^0.5-SIN(A26/57.2958))</f>
        <v>570.5169161</v>
      </c>
      <c r="C26" s="3"/>
      <c r="D26" s="3"/>
      <c r="E26" s="3"/>
      <c r="F26" s="3"/>
      <c r="G26" s="3"/>
      <c r="H26" s="3"/>
    </row>
    <row r="27" customFormat="false" ht="14.25" hidden="false" customHeight="true" outlineLevel="0" collapsed="false">
      <c r="A27" s="13" t="n">
        <v>70</v>
      </c>
      <c r="B27" s="14" t="n">
        <f aca="false">C15*((((((C15+C16)^2)/C15^2)-COS(A27/57.2958)^2))^0.5-SIN(A27/57.2958))</f>
        <v>529.5508219</v>
      </c>
      <c r="C27" s="3"/>
      <c r="D27" s="3"/>
      <c r="E27" s="3"/>
      <c r="F27" s="3"/>
      <c r="G27" s="3"/>
      <c r="H27" s="3"/>
    </row>
    <row r="28" customFormat="false" ht="14.25" hidden="false" customHeight="true" outlineLevel="0" collapsed="false">
      <c r="A28" s="13" t="n">
        <v>80</v>
      </c>
      <c r="B28" s="14" t="n">
        <f aca="false">C15*((((((C15+C16)^2)/C15^2)-COS(A28/57.2958)^2))^0.5-SIN(A28/57.2958))</f>
        <v>507.1408522</v>
      </c>
      <c r="C28" s="3"/>
      <c r="D28" s="3"/>
      <c r="E28" s="3"/>
      <c r="F28" s="3"/>
      <c r="G28" s="3"/>
      <c r="H28" s="3"/>
    </row>
    <row r="29" customFormat="false" ht="14.25" hidden="false" customHeight="true" outlineLevel="0" collapsed="false">
      <c r="A29" s="13" t="n">
        <v>90</v>
      </c>
      <c r="B29" s="14" t="n">
        <f aca="false">C15*((((((C15+C16)^2)/C15^2)-COS(A29/57.2958)^2))^0.5-SIN(A29/57.2958))</f>
        <v>500</v>
      </c>
    </row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1:G1"/>
    <mergeCell ref="A2:G3"/>
    <mergeCell ref="A5:G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31.15"/>
    <col collapsed="false" customWidth="true" hidden="false" outlineLevel="0" max="3" min="3" style="0" width="13"/>
    <col collapsed="false" customWidth="true" hidden="false" outlineLevel="0" max="4" min="4" style="0" width="5"/>
    <col collapsed="false" customWidth="true" hidden="false" outlineLevel="0" max="5" min="5" style="0" width="20.43"/>
    <col collapsed="false" customWidth="true" hidden="true" outlineLevel="0" max="6" min="6" style="0" width="0.29"/>
    <col collapsed="false" customWidth="true" hidden="true" outlineLevel="0" max="7" min="7" style="0" width="16.57"/>
    <col collapsed="false" customWidth="true" hidden="true" outlineLevel="0" max="8" min="8" style="0" width="9.3"/>
    <col collapsed="false" customWidth="true" hidden="false" outlineLevel="0" max="9" min="9" style="0" width="10.29"/>
    <col collapsed="false" customWidth="true" hidden="false" outlineLevel="0" max="10" min="10" style="0" width="11.71"/>
    <col collapsed="false" customWidth="true" hidden="false" outlineLevel="0" max="11" min="11" style="0" width="14.29"/>
    <col collapsed="false" customWidth="true" hidden="false" outlineLevel="0" max="12" min="12" style="0" width="11.43"/>
    <col collapsed="false" customWidth="true" hidden="false" outlineLevel="0" max="13" min="13" style="0" width="14"/>
    <col collapsed="false" customWidth="true" hidden="false" outlineLevel="0" max="14" min="14" style="0" width="18.7"/>
    <col collapsed="false" customWidth="true" hidden="false" outlineLevel="0" max="15" min="15" style="0" width="19.86"/>
    <col collapsed="false" customWidth="true" hidden="false" outlineLevel="0" max="26" min="16" style="0" width="8.71"/>
  </cols>
  <sheetData>
    <row r="1" customFormat="false" ht="14.25" hidden="false" customHeight="true" outlineLevel="0" collapsed="false">
      <c r="A1" s="1" t="s">
        <v>10</v>
      </c>
      <c r="B1" s="1"/>
      <c r="C1" s="1"/>
      <c r="D1" s="1"/>
      <c r="E1" s="1"/>
      <c r="F1" s="15"/>
      <c r="G1" s="15"/>
      <c r="H1" s="15"/>
      <c r="J1" s="16"/>
      <c r="K1" s="16"/>
      <c r="L1" s="16"/>
      <c r="M1" s="16"/>
      <c r="N1" s="16"/>
      <c r="O1" s="16"/>
    </row>
    <row r="2" customFormat="false" ht="14.25" hidden="false" customHeight="true" outlineLevel="0" collapsed="false">
      <c r="A2" s="17" t="s">
        <v>11</v>
      </c>
      <c r="B2" s="17"/>
      <c r="C2" s="17"/>
      <c r="D2" s="17"/>
      <c r="E2" s="17"/>
      <c r="F2" s="3"/>
      <c r="G2" s="3"/>
      <c r="H2" s="3"/>
      <c r="J2" s="16"/>
      <c r="K2" s="16"/>
      <c r="L2" s="16"/>
      <c r="M2" s="16"/>
      <c r="N2" s="16"/>
      <c r="O2" s="16"/>
    </row>
    <row r="3" customFormat="false" ht="14.25" hidden="false" customHeight="true" outlineLevel="0" collapsed="false">
      <c r="A3" s="18" t="s">
        <v>12</v>
      </c>
      <c r="B3" s="18"/>
      <c r="C3" s="18"/>
      <c r="D3" s="18"/>
      <c r="E3" s="18"/>
      <c r="J3" s="19" t="s">
        <v>13</v>
      </c>
      <c r="K3" s="17" t="s">
        <v>14</v>
      </c>
      <c r="L3" s="17" t="s">
        <v>15</v>
      </c>
      <c r="M3" s="19" t="s">
        <v>16</v>
      </c>
      <c r="N3" s="19" t="s">
        <v>17</v>
      </c>
      <c r="O3" s="17" t="s">
        <v>18</v>
      </c>
    </row>
    <row r="4" customFormat="false" ht="14.25" hidden="false" customHeight="true" outlineLevel="0" collapsed="false">
      <c r="A4" s="20"/>
      <c r="B4" s="20" t="s">
        <v>19</v>
      </c>
      <c r="C4" s="8" t="n">
        <v>437.5</v>
      </c>
      <c r="D4" s="20" t="s">
        <v>20</v>
      </c>
      <c r="E4" s="20"/>
      <c r="J4" s="21" t="n">
        <v>0</v>
      </c>
      <c r="K4" s="21" t="n">
        <v>2574.49024080496</v>
      </c>
      <c r="L4" s="22" t="n">
        <f aca="false">32.43+(20*(LOG(C4)+LOG(K4)))</f>
        <v>153.4633861</v>
      </c>
      <c r="M4" s="22" t="n">
        <f aca="false">5-140-1*(-C12-L4-SUM(C16:C20)-C24+C25-C26)</f>
        <v>24.46338614</v>
      </c>
      <c r="N4" s="22" t="n">
        <f aca="false">M4-2.2</f>
        <v>22.26338614</v>
      </c>
      <c r="O4" s="22" t="n">
        <f aca="false">10^(N4/10)</f>
        <v>168.398653267677</v>
      </c>
    </row>
    <row r="5" customFormat="false" ht="14.25" hidden="false" customHeight="true" outlineLevel="0" collapsed="false">
      <c r="A5" s="20"/>
      <c r="B5" s="20" t="s">
        <v>21</v>
      </c>
      <c r="C5" s="8" t="n">
        <v>815</v>
      </c>
      <c r="D5" s="20" t="s">
        <v>4</v>
      </c>
      <c r="E5" s="20" t="s">
        <v>22</v>
      </c>
      <c r="F5" s="23"/>
      <c r="J5" s="21" t="n">
        <v>10</v>
      </c>
      <c r="K5" s="21" t="n">
        <v>1695.08138021804</v>
      </c>
      <c r="L5" s="22" t="n">
        <f aca="false">32.43+(20*(LOG(C4)+LOG(K5)))</f>
        <v>149.8333722</v>
      </c>
      <c r="M5" s="22" t="n">
        <f aca="false">5-140-1*(-C12-L5-SUM(C16:C20)-C24+C25-C26)</f>
        <v>20.83337221</v>
      </c>
      <c r="N5" s="22" t="n">
        <f aca="false">M5-2.2</f>
        <v>18.63337221</v>
      </c>
      <c r="O5" s="22" t="n">
        <f aca="false">10^(N5/10)</f>
        <v>73.0024139416536</v>
      </c>
    </row>
    <row r="6" customFormat="false" ht="14.25" hidden="false" customHeight="true" outlineLevel="0" collapsed="false">
      <c r="A6" s="20"/>
      <c r="B6" s="24" t="s">
        <v>23</v>
      </c>
      <c r="C6" s="8" t="n">
        <v>14</v>
      </c>
      <c r="D6" s="20" t="s">
        <v>24</v>
      </c>
      <c r="E6" s="20"/>
      <c r="J6" s="21" t="n">
        <v>20</v>
      </c>
      <c r="K6" s="21" t="n">
        <v>1192.98839934893</v>
      </c>
      <c r="L6" s="22" t="n">
        <f aca="false">32.43+(20*(LOG(C4)+LOG(K6)))</f>
        <v>146.7822856</v>
      </c>
      <c r="M6" s="22" t="n">
        <f aca="false">5-140-1*(-C12-L6-SUM(C16:C20)-C24+C25-C26)</f>
        <v>17.78228556</v>
      </c>
      <c r="N6" s="22" t="n">
        <f aca="false">M6-2.2</f>
        <v>15.58228556</v>
      </c>
      <c r="O6" s="22" t="n">
        <f aca="false">10^(N6/10)</f>
        <v>36.160011173415</v>
      </c>
    </row>
    <row r="7" customFormat="false" ht="14.25" hidden="false" customHeight="true" outlineLevel="0" collapsed="false">
      <c r="A7" s="20"/>
      <c r="B7" s="24"/>
      <c r="C7" s="10" t="n">
        <f aca="false">10*LOG(C6)</f>
        <v>11.46128036</v>
      </c>
      <c r="D7" s="20" t="s">
        <v>25</v>
      </c>
      <c r="E7" s="20"/>
      <c r="J7" s="21" t="n">
        <v>30</v>
      </c>
      <c r="K7" s="21" t="n">
        <v>909.502516902381</v>
      </c>
      <c r="L7" s="22" t="n">
        <f aca="false">32.43+(20*(LOG(C4)+LOG(K7)))</f>
        <v>144.4256393</v>
      </c>
      <c r="M7" s="22" t="n">
        <f aca="false">5-140-1*(-C12-L7-SUM(C16:C20)-C24+C25-C26)</f>
        <v>15.42563925</v>
      </c>
      <c r="N7" s="22" t="n">
        <f aca="false">M7-2.2</f>
        <v>13.22563925</v>
      </c>
      <c r="O7" s="22" t="n">
        <f aca="false">10^(N7/10)</f>
        <v>21.0166709644467</v>
      </c>
    </row>
    <row r="8" customFormat="false" ht="14.25" hidden="false" customHeight="true" outlineLevel="0" collapsed="false">
      <c r="A8" s="9"/>
      <c r="B8" s="9"/>
      <c r="C8" s="9"/>
      <c r="D8" s="9"/>
      <c r="E8" s="9"/>
      <c r="J8" s="21" t="n">
        <v>40</v>
      </c>
      <c r="K8" s="21" t="n">
        <v>741.327042433927</v>
      </c>
      <c r="L8" s="22" t="n">
        <f aca="false">32.43+(20*(LOG(C4)+LOG(K8)))</f>
        <v>142.649758</v>
      </c>
      <c r="M8" s="22" t="n">
        <f aca="false">5-140-1*(-C12-L8-SUM(C16:C20)-C24+C25-C26)</f>
        <v>13.649758</v>
      </c>
      <c r="N8" s="22" t="n">
        <f aca="false">M8-2.2</f>
        <v>11.449758</v>
      </c>
      <c r="O8" s="22" t="n">
        <f aca="false">10^(N8/10)</f>
        <v>13.9629055400503</v>
      </c>
    </row>
    <row r="9" customFormat="false" ht="14.25" hidden="false" customHeight="true" outlineLevel="0" collapsed="false">
      <c r="A9" s="9"/>
      <c r="B9" s="9"/>
      <c r="C9" s="9"/>
      <c r="D9" s="9"/>
      <c r="E9" s="9"/>
      <c r="J9" s="21" t="n">
        <v>50</v>
      </c>
      <c r="K9" s="21" t="n">
        <v>636.790262245851</v>
      </c>
      <c r="L9" s="22" t="n">
        <f aca="false">32.43+(20*(LOG(C4)+LOG(K9)))</f>
        <v>141.3294894</v>
      </c>
      <c r="M9" s="22" t="n">
        <f aca="false">5-140-1*(-C12-L9-SUM(C16:C20)-C24+C25-C26)</f>
        <v>12.32948942</v>
      </c>
      <c r="N9" s="22" t="n">
        <f aca="false">M9-2.2</f>
        <v>10.12948942</v>
      </c>
      <c r="O9" s="22" t="n">
        <f aca="false">10^(N9/10)</f>
        <v>10.3026498981637</v>
      </c>
    </row>
    <row r="10" customFormat="false" ht="14.25" hidden="false" customHeight="true" outlineLevel="0" collapsed="false">
      <c r="A10" s="25" t="s">
        <v>26</v>
      </c>
      <c r="B10" s="26" t="s">
        <v>27</v>
      </c>
      <c r="C10" s="8" t="n">
        <v>8</v>
      </c>
      <c r="D10" s="26" t="s">
        <v>28</v>
      </c>
      <c r="E10" s="26"/>
      <c r="J10" s="21" t="n">
        <v>60</v>
      </c>
      <c r="K10" s="21" t="n">
        <v>570.516916061884</v>
      </c>
      <c r="L10" s="22" t="n">
        <f aca="false">32.43+(20*(LOG(C4)+LOG(K10)))</f>
        <v>140.3749317</v>
      </c>
      <c r="M10" s="22" t="n">
        <f aca="false">5-140-1*(-C12-L10-SUM(C16:C20)-C24+C25-C26)</f>
        <v>11.37493167</v>
      </c>
      <c r="N10" s="22" t="n">
        <f aca="false">M10-2.2</f>
        <v>9.17493167</v>
      </c>
      <c r="O10" s="22" t="n">
        <f aca="false">10^(N10/10)</f>
        <v>8.26976497177979</v>
      </c>
    </row>
    <row r="11" customFormat="false" ht="14.25" hidden="false" customHeight="true" outlineLevel="0" collapsed="false">
      <c r="A11" s="25"/>
      <c r="B11" s="26" t="s">
        <v>29</v>
      </c>
      <c r="C11" s="10" t="n">
        <f aca="false">SUM(C7,C10)</f>
        <v>19.46128036</v>
      </c>
      <c r="D11" s="26" t="s">
        <v>25</v>
      </c>
      <c r="E11" s="26" t="s">
        <v>30</v>
      </c>
      <c r="J11" s="21" t="n">
        <v>70</v>
      </c>
      <c r="K11" s="21" t="n">
        <v>529.550821937425</v>
      </c>
      <c r="L11" s="22" t="n">
        <f aca="false">32.43+(20*(LOG(C4)+LOG(K11)))</f>
        <v>139.7277141</v>
      </c>
      <c r="M11" s="22" t="n">
        <f aca="false">5-140-1*(-C12-L11-SUM(C16:C20)-C24+C25-C26)</f>
        <v>10.72771408</v>
      </c>
      <c r="N11" s="22" t="n">
        <f aca="false">M11-2.2</f>
        <v>8.52771408</v>
      </c>
      <c r="O11" s="22" t="n">
        <f aca="false">10^(N11/10)</f>
        <v>7.12477916859039</v>
      </c>
    </row>
    <row r="12" customFormat="false" ht="14.25" hidden="false" customHeight="true" outlineLevel="0" collapsed="false">
      <c r="A12" s="25"/>
      <c r="B12" s="26" t="s">
        <v>31</v>
      </c>
      <c r="C12" s="8" t="n">
        <v>2</v>
      </c>
      <c r="D12" s="26" t="s">
        <v>32</v>
      </c>
      <c r="E12" s="26"/>
      <c r="J12" s="21" t="n">
        <v>80</v>
      </c>
      <c r="K12" s="21" t="n">
        <v>507.140852176432</v>
      </c>
      <c r="L12" s="22" t="n">
        <f aca="false">32.43+(20*(LOG(C4)+LOG(K12)))</f>
        <v>139.3521331</v>
      </c>
      <c r="M12" s="22" t="n">
        <f aca="false">5-140-1*(-C12-L12-SUM(C16:C20)-C24+C25-C26)</f>
        <v>10.35213307</v>
      </c>
      <c r="N12" s="22" t="n">
        <f aca="false">M12-2.2</f>
        <v>8.15213307</v>
      </c>
      <c r="O12" s="22" t="n">
        <f aca="false">10^(N12/10)</f>
        <v>6.53451421421027</v>
      </c>
    </row>
    <row r="13" customFormat="false" ht="14.25" hidden="false" customHeight="true" outlineLevel="0" collapsed="false">
      <c r="A13" s="9"/>
      <c r="B13" s="9"/>
      <c r="C13" s="9"/>
      <c r="D13" s="9"/>
      <c r="E13" s="9"/>
      <c r="J13" s="21" t="n">
        <v>90</v>
      </c>
      <c r="K13" s="21" t="n">
        <v>500.000000000074</v>
      </c>
      <c r="L13" s="22" t="n">
        <f aca="false">32.43+(20*(LOG(C4)+LOG(K13)))</f>
        <v>139.2289612</v>
      </c>
      <c r="M13" s="22" t="n">
        <f aca="false">5-140-1*(-C12-L13-SUM(C16:C20)-C24+C25-C26)</f>
        <v>10.22896123</v>
      </c>
      <c r="N13" s="22" t="n">
        <f aca="false">M13-2.2</f>
        <v>8.02896123</v>
      </c>
      <c r="O13" s="22" t="n">
        <f aca="false">10^(N13/10)</f>
        <v>6.35178987993585</v>
      </c>
    </row>
    <row r="14" customFormat="false" ht="14.25" hidden="false" customHeight="true" outlineLevel="0" collapsed="false">
      <c r="A14" s="9"/>
      <c r="B14" s="9"/>
      <c r="C14" s="9"/>
      <c r="D14" s="9"/>
      <c r="E14" s="9"/>
    </row>
    <row r="15" customFormat="false" ht="14.25" hidden="false" customHeight="true" outlineLevel="0" collapsed="false">
      <c r="A15" s="27" t="s">
        <v>33</v>
      </c>
      <c r="B15" s="28" t="s">
        <v>34</v>
      </c>
      <c r="C15" s="10" t="n">
        <f aca="false">32.43+(20*(LOG(C4)+LOG(C5)))</f>
        <v>143.4727133</v>
      </c>
      <c r="D15" s="28" t="s">
        <v>32</v>
      </c>
      <c r="E15" s="28" t="s">
        <v>35</v>
      </c>
      <c r="N15" s="3" t="s">
        <v>36</v>
      </c>
    </row>
    <row r="16" customFormat="false" ht="14.25" hidden="false" customHeight="true" outlineLevel="0" collapsed="false">
      <c r="A16" s="27"/>
      <c r="B16" s="28" t="s">
        <v>37</v>
      </c>
      <c r="C16" s="8" t="n">
        <v>1</v>
      </c>
      <c r="D16" s="28" t="s">
        <v>32</v>
      </c>
      <c r="E16" s="28"/>
    </row>
    <row r="17" customFormat="false" ht="14.25" hidden="false" customHeight="true" outlineLevel="0" collapsed="false">
      <c r="A17" s="27"/>
      <c r="B17" s="28" t="s">
        <v>38</v>
      </c>
      <c r="C17" s="8" t="n">
        <v>1</v>
      </c>
      <c r="D17" s="28" t="s">
        <v>32</v>
      </c>
      <c r="E17" s="28"/>
    </row>
    <row r="18" customFormat="false" ht="14.25" hidden="false" customHeight="true" outlineLevel="0" collapsed="false">
      <c r="A18" s="27"/>
      <c r="B18" s="28" t="s">
        <v>39</v>
      </c>
      <c r="C18" s="8" t="n">
        <v>2</v>
      </c>
      <c r="D18" s="28" t="s">
        <v>32</v>
      </c>
      <c r="E18" s="28"/>
    </row>
    <row r="19" customFormat="false" ht="14.25" hidden="false" customHeight="true" outlineLevel="0" collapsed="false">
      <c r="A19" s="27"/>
      <c r="B19" s="28" t="s">
        <v>40</v>
      </c>
      <c r="C19" s="8" t="n">
        <v>1</v>
      </c>
      <c r="D19" s="28" t="s">
        <v>32</v>
      </c>
      <c r="E19" s="28"/>
    </row>
    <row r="20" customFormat="false" ht="14.25" hidden="false" customHeight="true" outlineLevel="0" collapsed="false">
      <c r="A20" s="27"/>
      <c r="B20" s="28" t="s">
        <v>41</v>
      </c>
      <c r="C20" s="8" t="n">
        <v>0</v>
      </c>
      <c r="D20" s="28" t="s">
        <v>32</v>
      </c>
      <c r="E20" s="28"/>
    </row>
    <row r="21" customFormat="false" ht="14.25" hidden="false" customHeight="true" outlineLevel="0" collapsed="false">
      <c r="A21" s="9"/>
      <c r="B21" s="9"/>
      <c r="C21" s="9"/>
      <c r="D21" s="9"/>
      <c r="E21" s="9"/>
    </row>
    <row r="22" customFormat="false" ht="14.25" hidden="false" customHeight="true" outlineLevel="0" collapsed="false">
      <c r="A22" s="9"/>
      <c r="B22" s="9"/>
      <c r="C22" s="9"/>
      <c r="D22" s="9"/>
      <c r="E22" s="9"/>
    </row>
    <row r="23" customFormat="false" ht="14.25" hidden="false" customHeight="true" outlineLevel="0" collapsed="false">
      <c r="A23" s="29" t="s">
        <v>42</v>
      </c>
      <c r="B23" s="30" t="s">
        <v>43</v>
      </c>
      <c r="C23" s="10" t="n">
        <f aca="false">C11-C12-SUM(C15:C20)</f>
        <v>-131.01143294</v>
      </c>
      <c r="D23" s="30" t="s">
        <v>32</v>
      </c>
      <c r="E23" s="30" t="s">
        <v>44</v>
      </c>
    </row>
    <row r="24" customFormat="false" ht="14.25" hidden="false" customHeight="true" outlineLevel="0" collapsed="false">
      <c r="A24" s="29"/>
      <c r="B24" s="30" t="s">
        <v>45</v>
      </c>
      <c r="C24" s="8" t="n">
        <v>0.2</v>
      </c>
      <c r="D24" s="30" t="s">
        <v>32</v>
      </c>
      <c r="E24" s="30"/>
    </row>
    <row r="25" customFormat="false" ht="14.25" hidden="false" customHeight="true" outlineLevel="0" collapsed="false">
      <c r="A25" s="29"/>
      <c r="B25" s="30" t="s">
        <v>46</v>
      </c>
      <c r="C25" s="8" t="n">
        <v>2.2</v>
      </c>
      <c r="D25" s="30" t="s">
        <v>28</v>
      </c>
      <c r="E25" s="30"/>
    </row>
    <row r="26" customFormat="false" ht="14.25" hidden="false" customHeight="true" outlineLevel="0" collapsed="false">
      <c r="A26" s="29"/>
      <c r="B26" s="30" t="s">
        <v>47</v>
      </c>
      <c r="C26" s="8" t="n">
        <v>1</v>
      </c>
      <c r="D26" s="30" t="s">
        <v>32</v>
      </c>
      <c r="E26" s="30"/>
    </row>
    <row r="27" customFormat="false" ht="15.75" hidden="false" customHeight="true" outlineLevel="0" collapsed="false">
      <c r="A27" s="29"/>
      <c r="B27" s="30" t="s">
        <v>48</v>
      </c>
      <c r="C27" s="8" t="n">
        <v>-115</v>
      </c>
      <c r="D27" s="30" t="s">
        <v>49</v>
      </c>
      <c r="E27" s="30"/>
    </row>
    <row r="28" customFormat="false" ht="14.25" hidden="false" customHeight="true" outlineLevel="0" collapsed="false">
      <c r="A28" s="29"/>
      <c r="B28" s="30" t="s">
        <v>48</v>
      </c>
      <c r="C28" s="10" t="n">
        <f aca="false">C27-30</f>
        <v>-145</v>
      </c>
      <c r="D28" s="30" t="s">
        <v>25</v>
      </c>
      <c r="E28" s="30"/>
    </row>
    <row r="29" customFormat="false" ht="14.25" hidden="false" customHeight="true" outlineLevel="0" collapsed="false">
      <c r="A29" s="29"/>
      <c r="B29" s="30" t="s">
        <v>50</v>
      </c>
      <c r="C29" s="10" t="n">
        <f aca="false">C23-C24+C25-C26</f>
        <v>-130.01143294</v>
      </c>
      <c r="D29" s="30"/>
      <c r="E29" s="30"/>
    </row>
    <row r="30" customFormat="false" ht="14.25" hidden="false" customHeight="true" outlineLevel="0" collapsed="false">
      <c r="A30" s="31"/>
      <c r="B30" s="9"/>
      <c r="C30" s="9"/>
      <c r="D30" s="9"/>
      <c r="E30" s="9"/>
    </row>
    <row r="31" customFormat="false" ht="14.25" hidden="false" customHeight="true" outlineLevel="0" collapsed="false">
      <c r="A31" s="9"/>
      <c r="B31" s="9"/>
      <c r="C31" s="9"/>
      <c r="D31" s="9"/>
      <c r="E31" s="9"/>
    </row>
    <row r="32" customFormat="false" ht="14.25" hidden="false" customHeight="true" outlineLevel="0" collapsed="false">
      <c r="A32" s="32"/>
      <c r="B32" s="33" t="s">
        <v>51</v>
      </c>
      <c r="C32" s="10" t="n">
        <f aca="false">C29-C28</f>
        <v>14.98856706</v>
      </c>
      <c r="D32" s="33" t="s">
        <v>32</v>
      </c>
      <c r="E32" s="32"/>
    </row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8">
    <mergeCell ref="A1:E1"/>
    <mergeCell ref="J1:O1"/>
    <mergeCell ref="A2:E2"/>
    <mergeCell ref="J2:O2"/>
    <mergeCell ref="A3:E3"/>
    <mergeCell ref="A10:A12"/>
    <mergeCell ref="A15:A20"/>
    <mergeCell ref="A23:A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0.29"/>
    <col collapsed="false" customWidth="true" hidden="false" outlineLevel="0" max="2" min="2" style="0" width="18.57"/>
    <col collapsed="false" customWidth="true" hidden="false" outlineLevel="0" max="3" min="3" style="0" width="12.43"/>
    <col collapsed="false" customWidth="true" hidden="false" outlineLevel="0" max="4" min="4" style="0" width="9.57"/>
    <col collapsed="false" customWidth="true" hidden="false" outlineLevel="0" max="5" min="5" style="0" width="29.3"/>
    <col collapsed="false" customWidth="true" hidden="false" outlineLevel="0" max="26" min="6" style="0" width="8.71"/>
  </cols>
  <sheetData>
    <row r="1" customFormat="false" ht="14.25" hidden="false" customHeight="true" outlineLevel="0" collapsed="false">
      <c r="A1" s="34" t="s">
        <v>52</v>
      </c>
      <c r="B1" s="34"/>
      <c r="C1" s="34"/>
      <c r="D1" s="34"/>
      <c r="E1" s="34"/>
    </row>
    <row r="2" customFormat="false" ht="14.25" hidden="false" customHeight="true" outlineLevel="0" collapsed="false">
      <c r="A2" s="35" t="s">
        <v>12</v>
      </c>
      <c r="B2" s="35"/>
      <c r="C2" s="35"/>
      <c r="D2" s="35"/>
      <c r="E2" s="35"/>
    </row>
    <row r="3" customFormat="false" ht="14.25" hidden="false" customHeight="true" outlineLevel="0" collapsed="false">
      <c r="A3" s="36"/>
      <c r="B3" s="37" t="s">
        <v>19</v>
      </c>
      <c r="C3" s="38" t="n">
        <v>437.5</v>
      </c>
      <c r="D3" s="39" t="s">
        <v>20</v>
      </c>
      <c r="E3" s="39"/>
    </row>
    <row r="4" customFormat="false" ht="14.25" hidden="false" customHeight="true" outlineLevel="0" collapsed="false">
      <c r="A4" s="36"/>
      <c r="B4" s="37" t="s">
        <v>21</v>
      </c>
      <c r="C4" s="38" t="n">
        <v>815</v>
      </c>
      <c r="D4" s="39" t="s">
        <v>4</v>
      </c>
      <c r="E4" s="39" t="s">
        <v>53</v>
      </c>
    </row>
    <row r="5" customFormat="false" ht="14.25" hidden="false" customHeight="true" outlineLevel="0" collapsed="false">
      <c r="A5" s="36"/>
      <c r="B5" s="40" t="s">
        <v>23</v>
      </c>
      <c r="C5" s="38" t="n">
        <v>14</v>
      </c>
      <c r="D5" s="39" t="s">
        <v>24</v>
      </c>
      <c r="E5" s="39" t="s">
        <v>54</v>
      </c>
    </row>
    <row r="6" customFormat="false" ht="14.25" hidden="false" customHeight="true" outlineLevel="0" collapsed="false">
      <c r="A6" s="36"/>
      <c r="B6" s="40"/>
      <c r="C6" s="41" t="n">
        <f aca="false">10*LOG(C5)</f>
        <v>11.46128036</v>
      </c>
      <c r="D6" s="39" t="s">
        <v>25</v>
      </c>
      <c r="E6" s="39"/>
    </row>
    <row r="7" customFormat="false" ht="14.25" hidden="false" customHeight="true" outlineLevel="0" collapsed="false">
      <c r="A7" s="42"/>
      <c r="B7" s="43"/>
      <c r="C7" s="42"/>
      <c r="D7" s="44"/>
      <c r="E7" s="44"/>
    </row>
    <row r="8" customFormat="false" ht="14.25" hidden="false" customHeight="true" outlineLevel="0" collapsed="false">
      <c r="A8" s="42"/>
      <c r="B8" s="43"/>
      <c r="C8" s="42"/>
      <c r="D8" s="44"/>
      <c r="E8" s="44"/>
    </row>
    <row r="9" customFormat="false" ht="14.25" hidden="false" customHeight="true" outlineLevel="0" collapsed="false">
      <c r="A9" s="45" t="s">
        <v>26</v>
      </c>
      <c r="B9" s="46" t="s">
        <v>27</v>
      </c>
      <c r="C9" s="38" t="n">
        <v>8</v>
      </c>
      <c r="D9" s="47" t="s">
        <v>28</v>
      </c>
      <c r="E9" s="47" t="s">
        <v>55</v>
      </c>
    </row>
    <row r="10" customFormat="false" ht="14.25" hidden="false" customHeight="true" outlineLevel="0" collapsed="false">
      <c r="A10" s="45"/>
      <c r="B10" s="46" t="s">
        <v>29</v>
      </c>
      <c r="C10" s="41" t="n">
        <f aca="false">SUM(C6,C9)</f>
        <v>19.46128036</v>
      </c>
      <c r="D10" s="47" t="s">
        <v>25</v>
      </c>
      <c r="E10" s="47" t="s">
        <v>56</v>
      </c>
    </row>
    <row r="11" customFormat="false" ht="14.25" hidden="false" customHeight="true" outlineLevel="0" collapsed="false">
      <c r="A11" s="45"/>
      <c r="B11" s="46" t="s">
        <v>31</v>
      </c>
      <c r="C11" s="38" t="n">
        <v>2</v>
      </c>
      <c r="D11" s="47" t="s">
        <v>32</v>
      </c>
      <c r="E11" s="47"/>
    </row>
    <row r="12" customFormat="false" ht="14.25" hidden="false" customHeight="true" outlineLevel="0" collapsed="false">
      <c r="A12" s="42"/>
      <c r="B12" s="43"/>
      <c r="C12" s="42"/>
      <c r="D12" s="44"/>
      <c r="E12" s="44"/>
    </row>
    <row r="13" customFormat="false" ht="14.25" hidden="false" customHeight="true" outlineLevel="0" collapsed="false">
      <c r="A13" s="42"/>
      <c r="B13" s="43"/>
      <c r="C13" s="42"/>
      <c r="D13" s="44"/>
      <c r="E13" s="44"/>
    </row>
    <row r="14" customFormat="false" ht="14.25" hidden="false" customHeight="true" outlineLevel="0" collapsed="false">
      <c r="A14" s="48" t="s">
        <v>33</v>
      </c>
      <c r="B14" s="49" t="s">
        <v>34</v>
      </c>
      <c r="C14" s="41" t="n">
        <f aca="false">32.43+(20*(LOG(C3)+LOG(C4)))</f>
        <v>143.4727133</v>
      </c>
      <c r="D14" s="50" t="s">
        <v>32</v>
      </c>
      <c r="E14" s="50" t="s">
        <v>35</v>
      </c>
    </row>
    <row r="15" customFormat="false" ht="14.25" hidden="false" customHeight="true" outlineLevel="0" collapsed="false">
      <c r="A15" s="48"/>
      <c r="B15" s="49" t="s">
        <v>37</v>
      </c>
      <c r="C15" s="38" t="n">
        <v>1</v>
      </c>
      <c r="D15" s="50" t="s">
        <v>32</v>
      </c>
      <c r="E15" s="50"/>
    </row>
    <row r="16" customFormat="false" ht="14.25" hidden="false" customHeight="true" outlineLevel="0" collapsed="false">
      <c r="A16" s="48"/>
      <c r="B16" s="49" t="s">
        <v>38</v>
      </c>
      <c r="C16" s="38" t="n">
        <v>1</v>
      </c>
      <c r="D16" s="50" t="s">
        <v>32</v>
      </c>
      <c r="E16" s="50"/>
    </row>
    <row r="17" customFormat="false" ht="14.25" hidden="false" customHeight="true" outlineLevel="0" collapsed="false">
      <c r="A17" s="48"/>
      <c r="B17" s="49" t="s">
        <v>39</v>
      </c>
      <c r="C17" s="38" t="n">
        <v>2</v>
      </c>
      <c r="D17" s="50" t="s">
        <v>32</v>
      </c>
      <c r="E17" s="50"/>
    </row>
    <row r="18" customFormat="false" ht="14.25" hidden="false" customHeight="true" outlineLevel="0" collapsed="false">
      <c r="A18" s="48"/>
      <c r="B18" s="49" t="s">
        <v>40</v>
      </c>
      <c r="C18" s="38" t="n">
        <v>1</v>
      </c>
      <c r="D18" s="50" t="s">
        <v>32</v>
      </c>
      <c r="E18" s="50"/>
    </row>
    <row r="19" customFormat="false" ht="14.25" hidden="false" customHeight="true" outlineLevel="0" collapsed="false">
      <c r="A19" s="48"/>
      <c r="B19" s="49" t="s">
        <v>41</v>
      </c>
      <c r="C19" s="38" t="n">
        <v>0</v>
      </c>
      <c r="D19" s="50" t="s">
        <v>32</v>
      </c>
      <c r="E19" s="50"/>
    </row>
    <row r="20" customFormat="false" ht="14.25" hidden="false" customHeight="true" outlineLevel="0" collapsed="false">
      <c r="A20" s="42"/>
      <c r="B20" s="43"/>
      <c r="C20" s="42"/>
      <c r="D20" s="44"/>
      <c r="E20" s="44"/>
    </row>
    <row r="21" customFormat="false" ht="14.25" hidden="false" customHeight="true" outlineLevel="0" collapsed="false">
      <c r="A21" s="42"/>
      <c r="B21" s="43"/>
      <c r="C21" s="42"/>
      <c r="D21" s="44"/>
      <c r="E21" s="44"/>
    </row>
    <row r="22" customFormat="false" ht="14.25" hidden="false" customHeight="true" outlineLevel="0" collapsed="false">
      <c r="A22" s="51" t="s">
        <v>42</v>
      </c>
      <c r="B22" s="52" t="s">
        <v>43</v>
      </c>
      <c r="C22" s="41" t="n">
        <f aca="false">C10-C11-SUM(C14:C19)</f>
        <v>-131.01143294</v>
      </c>
      <c r="D22" s="53" t="s">
        <v>32</v>
      </c>
      <c r="E22" s="53" t="s">
        <v>44</v>
      </c>
    </row>
    <row r="23" customFormat="false" ht="14.25" hidden="false" customHeight="true" outlineLevel="0" collapsed="false">
      <c r="A23" s="51"/>
      <c r="B23" s="52" t="s">
        <v>45</v>
      </c>
      <c r="C23" s="38" t="n">
        <v>0.2</v>
      </c>
      <c r="D23" s="53" t="s">
        <v>32</v>
      </c>
      <c r="E23" s="53"/>
    </row>
    <row r="24" customFormat="false" ht="14.25" hidden="false" customHeight="true" outlineLevel="0" collapsed="false">
      <c r="A24" s="51"/>
      <c r="B24" s="52" t="s">
        <v>46</v>
      </c>
      <c r="C24" s="38" t="n">
        <v>2.2</v>
      </c>
      <c r="D24" s="53" t="s">
        <v>28</v>
      </c>
      <c r="E24" s="53"/>
    </row>
    <row r="25" customFormat="false" ht="14.25" hidden="false" customHeight="true" outlineLevel="0" collapsed="false">
      <c r="A25" s="51"/>
      <c r="B25" s="52" t="s">
        <v>47</v>
      </c>
      <c r="C25" s="38" t="n">
        <v>1</v>
      </c>
      <c r="D25" s="53" t="s">
        <v>32</v>
      </c>
      <c r="E25" s="53"/>
    </row>
    <row r="26" customFormat="false" ht="14.25" hidden="false" customHeight="true" outlineLevel="0" collapsed="false">
      <c r="A26" s="51"/>
      <c r="B26" s="52" t="s">
        <v>57</v>
      </c>
      <c r="C26" s="38" t="n">
        <v>600</v>
      </c>
      <c r="D26" s="53" t="s">
        <v>58</v>
      </c>
      <c r="E26" s="53" t="s">
        <v>59</v>
      </c>
    </row>
    <row r="27" customFormat="false" ht="14.25" hidden="false" customHeight="true" outlineLevel="0" collapsed="false">
      <c r="A27" s="51"/>
      <c r="B27" s="52" t="s">
        <v>60</v>
      </c>
      <c r="C27" s="41" t="n">
        <f aca="false">C24-C25-10*LOG(C26)</f>
        <v>-26.5815125</v>
      </c>
      <c r="D27" s="53" t="s">
        <v>61</v>
      </c>
      <c r="E27" s="53" t="s">
        <v>62</v>
      </c>
    </row>
    <row r="28" customFormat="false" ht="14.25" hidden="false" customHeight="true" outlineLevel="0" collapsed="false">
      <c r="A28" s="51"/>
      <c r="B28" s="52" t="s">
        <v>63</v>
      </c>
      <c r="C28" s="41" t="n">
        <f aca="false">C22-C23+C24-C25</f>
        <v>-130.01143294</v>
      </c>
      <c r="D28" s="53" t="s">
        <v>25</v>
      </c>
      <c r="E28" s="53" t="s">
        <v>64</v>
      </c>
    </row>
    <row r="29" customFormat="false" ht="14.25" hidden="false" customHeight="true" outlineLevel="0" collapsed="false">
      <c r="A29" s="51"/>
      <c r="B29" s="52" t="s">
        <v>65</v>
      </c>
      <c r="C29" s="38" t="n">
        <v>2000</v>
      </c>
      <c r="D29" s="53" t="s">
        <v>66</v>
      </c>
      <c r="E29" s="53"/>
    </row>
    <row r="30" customFormat="false" ht="14.25" hidden="false" customHeight="true" outlineLevel="0" collapsed="false">
      <c r="A30" s="51"/>
      <c r="B30" s="52" t="s">
        <v>67</v>
      </c>
      <c r="C30" s="53" t="n">
        <v>-228.6</v>
      </c>
      <c r="D30" s="53" t="s">
        <v>68</v>
      </c>
      <c r="E30" s="53"/>
    </row>
    <row r="31" customFormat="false" ht="14.25" hidden="false" customHeight="true" outlineLevel="0" collapsed="false">
      <c r="A31" s="51"/>
      <c r="B31" s="52" t="s">
        <v>69</v>
      </c>
      <c r="C31" s="41" t="n">
        <f aca="false">C30+10*LOG(C26)+10*LOG(C29)</f>
        <v>-167.8081875</v>
      </c>
      <c r="D31" s="53" t="s">
        <v>25</v>
      </c>
      <c r="E31" s="53"/>
    </row>
    <row r="32" customFormat="false" ht="14.25" hidden="false" customHeight="true" outlineLevel="0" collapsed="false">
      <c r="A32" s="51"/>
      <c r="B32" s="52" t="s">
        <v>70</v>
      </c>
      <c r="C32" s="41" t="n">
        <f aca="false">C28-C31</f>
        <v>37.79675456</v>
      </c>
      <c r="D32" s="53" t="s">
        <v>32</v>
      </c>
      <c r="E32" s="53"/>
    </row>
    <row r="33" customFormat="false" ht="14.25" hidden="false" customHeight="true" outlineLevel="0" collapsed="false">
      <c r="A33" s="51"/>
      <c r="B33" s="52" t="s">
        <v>71</v>
      </c>
      <c r="C33" s="38" t="n">
        <v>12.8</v>
      </c>
      <c r="D33" s="53" t="s">
        <v>32</v>
      </c>
      <c r="E33" s="53"/>
    </row>
    <row r="34" customFormat="false" ht="14.25" hidden="false" customHeight="true" outlineLevel="0" collapsed="false">
      <c r="A34" s="42"/>
      <c r="B34" s="43"/>
      <c r="C34" s="42"/>
      <c r="D34" s="44"/>
      <c r="E34" s="44"/>
    </row>
    <row r="35" customFormat="false" ht="14.25" hidden="false" customHeight="true" outlineLevel="0" collapsed="false">
      <c r="A35" s="42"/>
      <c r="B35" s="43"/>
      <c r="C35" s="42"/>
      <c r="D35" s="44"/>
      <c r="E35" s="44"/>
    </row>
    <row r="36" customFormat="false" ht="14.25" hidden="false" customHeight="true" outlineLevel="0" collapsed="false">
      <c r="A36" s="54"/>
      <c r="B36" s="55" t="s">
        <v>51</v>
      </c>
      <c r="C36" s="56" t="n">
        <f aca="false">C32-C33</f>
        <v>24.99675456</v>
      </c>
      <c r="D36" s="57" t="s">
        <v>32</v>
      </c>
      <c r="E36" s="57"/>
    </row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5">
    <mergeCell ref="A1:E1"/>
    <mergeCell ref="A2:E2"/>
    <mergeCell ref="B5:B6"/>
    <mergeCell ref="A14:A19"/>
    <mergeCell ref="A22:A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C36" activeCellId="0" sqref="C36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0.7"/>
    <col collapsed="false" customWidth="true" hidden="false" outlineLevel="0" max="2" min="2" style="0" width="14.7"/>
    <col collapsed="false" customWidth="true" hidden="false" outlineLevel="0" max="3" min="3" style="0" width="9.86"/>
    <col collapsed="false" customWidth="true" hidden="false" outlineLevel="0" max="4" min="4" style="0" width="10.14"/>
    <col collapsed="false" customWidth="true" hidden="false" outlineLevel="0" max="5" min="5" style="0" width="9.71"/>
    <col collapsed="false" customWidth="true" hidden="false" outlineLevel="0" max="6" min="6" style="0" width="5.14"/>
    <col collapsed="false" customWidth="true" hidden="false" outlineLevel="0" max="7" min="7" style="0" width="26.7"/>
    <col collapsed="false" customWidth="true" hidden="false" outlineLevel="0" max="26" min="8" style="0" width="8.71"/>
  </cols>
  <sheetData>
    <row r="1" customFormat="false" ht="14.25" hidden="false" customHeight="true" outlineLevel="0" collapsed="false">
      <c r="A1" s="58" t="s">
        <v>72</v>
      </c>
      <c r="B1" s="58"/>
      <c r="C1" s="58"/>
      <c r="D1" s="58"/>
      <c r="E1" s="58"/>
      <c r="F1" s="58"/>
      <c r="G1" s="58"/>
    </row>
    <row r="2" customFormat="false" ht="14.25" hidden="false" customHeight="true" outlineLevel="0" collapsed="false">
      <c r="A2" s="59" t="s">
        <v>12</v>
      </c>
      <c r="B2" s="59"/>
      <c r="C2" s="59"/>
      <c r="D2" s="59"/>
      <c r="E2" s="59"/>
      <c r="F2" s="59"/>
      <c r="G2" s="59"/>
    </row>
    <row r="3" customFormat="false" ht="14.25" hidden="false" customHeight="true" outlineLevel="0" collapsed="false">
      <c r="A3" s="60"/>
      <c r="B3" s="61" t="s">
        <v>19</v>
      </c>
      <c r="C3" s="62" t="n">
        <v>437.5</v>
      </c>
      <c r="D3" s="20"/>
      <c r="E3" s="63"/>
      <c r="F3" s="61" t="s">
        <v>20</v>
      </c>
      <c r="G3" s="61"/>
    </row>
    <row r="4" customFormat="false" ht="14.25" hidden="false" customHeight="true" outlineLevel="0" collapsed="false">
      <c r="A4" s="60"/>
      <c r="B4" s="61" t="s">
        <v>73</v>
      </c>
      <c r="C4" s="62" t="n">
        <v>500</v>
      </c>
      <c r="D4" s="20"/>
      <c r="E4" s="63"/>
      <c r="F4" s="61" t="s">
        <v>4</v>
      </c>
      <c r="G4" s="61"/>
    </row>
    <row r="5" customFormat="false" ht="14.25" hidden="false" customHeight="true" outlineLevel="0" collapsed="false">
      <c r="A5" s="60"/>
      <c r="B5" s="61" t="s">
        <v>13</v>
      </c>
      <c r="C5" s="62" t="n">
        <v>30</v>
      </c>
      <c r="D5" s="20"/>
      <c r="E5" s="63"/>
      <c r="F5" s="61" t="s">
        <v>74</v>
      </c>
      <c r="G5" s="61"/>
    </row>
    <row r="6" customFormat="false" ht="27" hidden="false" customHeight="true" outlineLevel="0" collapsed="false">
      <c r="A6" s="60"/>
      <c r="B6" s="61" t="s">
        <v>21</v>
      </c>
      <c r="C6" s="62" t="n">
        <f aca="false">6378*((((((6378+C4)^2)/6378^2)-COS(C5/57.2958)^2))^0.5-SIN(C5/57.2958))</f>
        <v>909.5025169</v>
      </c>
      <c r="D6" s="20"/>
      <c r="E6" s="63"/>
      <c r="F6" s="61" t="s">
        <v>4</v>
      </c>
      <c r="G6" s="61"/>
    </row>
    <row r="7" customFormat="false" ht="14.25" hidden="false" customHeight="true" outlineLevel="0" collapsed="false">
      <c r="A7" s="60"/>
      <c r="B7" s="64" t="s">
        <v>23</v>
      </c>
      <c r="C7" s="62" t="n">
        <v>0.1</v>
      </c>
      <c r="D7" s="20"/>
      <c r="E7" s="65"/>
      <c r="F7" s="61" t="s">
        <v>24</v>
      </c>
      <c r="G7" s="61" t="s">
        <v>54</v>
      </c>
    </row>
    <row r="8" customFormat="false" ht="14.25" hidden="false" customHeight="true" outlineLevel="0" collapsed="false">
      <c r="A8" s="60"/>
      <c r="B8" s="60"/>
      <c r="C8" s="62" t="n">
        <f aca="false">10*LOG10(C7)</f>
        <v>-10</v>
      </c>
      <c r="D8" s="20"/>
      <c r="E8" s="63"/>
      <c r="F8" s="61" t="s">
        <v>25</v>
      </c>
      <c r="G8" s="61"/>
    </row>
    <row r="9" customFormat="false" ht="14.25" hidden="false" customHeight="true" outlineLevel="0" collapsed="false">
      <c r="A9" s="66"/>
      <c r="B9" s="66"/>
      <c r="C9" s="66"/>
      <c r="E9" s="66"/>
      <c r="F9" s="66"/>
      <c r="G9" s="67"/>
    </row>
    <row r="10" customFormat="false" ht="14.25" hidden="false" customHeight="true" outlineLevel="0" collapsed="false">
      <c r="A10" s="68" t="s">
        <v>42</v>
      </c>
      <c r="B10" s="69" t="s">
        <v>46</v>
      </c>
      <c r="C10" s="70" t="n">
        <v>2.2</v>
      </c>
      <c r="D10" s="71"/>
      <c r="E10" s="72"/>
      <c r="F10" s="69" t="s">
        <v>28</v>
      </c>
      <c r="G10" s="73"/>
    </row>
    <row r="11" customFormat="false" ht="14.25" hidden="false" customHeight="true" outlineLevel="0" collapsed="false">
      <c r="A11" s="68"/>
      <c r="B11" s="69" t="s">
        <v>47</v>
      </c>
      <c r="C11" s="70" t="n">
        <v>1</v>
      </c>
      <c r="D11" s="71"/>
      <c r="E11" s="72"/>
      <c r="F11" s="69" t="s">
        <v>32</v>
      </c>
      <c r="G11" s="73"/>
    </row>
    <row r="12" customFormat="false" ht="14.25" hidden="false" customHeight="true" outlineLevel="0" collapsed="false">
      <c r="A12" s="68"/>
      <c r="B12" s="69" t="s">
        <v>75</v>
      </c>
      <c r="C12" s="70" t="n">
        <f aca="false">C8+C10-C11</f>
        <v>-8.8</v>
      </c>
      <c r="D12" s="71"/>
      <c r="E12" s="74"/>
      <c r="F12" s="69"/>
      <c r="G12" s="69" t="s">
        <v>76</v>
      </c>
    </row>
    <row r="13" customFormat="false" ht="14.25" hidden="false" customHeight="true" outlineLevel="0" collapsed="false">
      <c r="A13" s="66"/>
      <c r="B13" s="66"/>
      <c r="C13" s="66"/>
      <c r="D13" s="66"/>
      <c r="E13" s="66"/>
      <c r="F13" s="66"/>
      <c r="G13" s="67"/>
    </row>
    <row r="14" customFormat="false" ht="14.25" hidden="false" customHeight="true" outlineLevel="0" collapsed="false">
      <c r="A14" s="66"/>
      <c r="B14" s="66"/>
      <c r="C14" s="75" t="s">
        <v>77</v>
      </c>
      <c r="D14" s="76" t="s">
        <v>78</v>
      </c>
      <c r="E14" s="77" t="s">
        <v>79</v>
      </c>
      <c r="F14" s="66"/>
      <c r="G14" s="67"/>
    </row>
    <row r="15" customFormat="false" ht="14.25" hidden="false" customHeight="true" outlineLevel="0" collapsed="false">
      <c r="A15" s="78" t="s">
        <v>80</v>
      </c>
      <c r="B15" s="79" t="s">
        <v>34</v>
      </c>
      <c r="C15" s="80" t="n">
        <f aca="false">32.43+(20*(LOG10(C3)+LOG10(C6)))</f>
        <v>144.4256393</v>
      </c>
      <c r="D15" s="76" t="n">
        <f aca="false">32.43+(20*(LOG10(C3)+LOG10(C6)))</f>
        <v>144.4256393</v>
      </c>
      <c r="E15" s="77" t="n">
        <f aca="false">32.43+(20*(LOG10(C3)+LOG10(C6)))</f>
        <v>144.4256393</v>
      </c>
      <c r="F15" s="79" t="s">
        <v>32</v>
      </c>
      <c r="G15" s="81" t="s">
        <v>35</v>
      </c>
    </row>
    <row r="16" customFormat="false" ht="14.25" hidden="false" customHeight="true" outlineLevel="0" collapsed="false">
      <c r="A16" s="78"/>
      <c r="B16" s="79" t="s">
        <v>37</v>
      </c>
      <c r="C16" s="75" t="n">
        <v>1</v>
      </c>
      <c r="D16" s="76" t="n">
        <v>1</v>
      </c>
      <c r="E16" s="77" t="n">
        <v>1</v>
      </c>
      <c r="F16" s="79" t="s">
        <v>32</v>
      </c>
      <c r="G16" s="81"/>
    </row>
    <row r="17" customFormat="false" ht="14.25" hidden="false" customHeight="true" outlineLevel="0" collapsed="false">
      <c r="A17" s="78"/>
      <c r="B17" s="79" t="s">
        <v>38</v>
      </c>
      <c r="C17" s="75" t="n">
        <v>1</v>
      </c>
      <c r="D17" s="76" t="n">
        <v>1</v>
      </c>
      <c r="E17" s="77" t="n">
        <v>1</v>
      </c>
      <c r="F17" s="79" t="s">
        <v>32</v>
      </c>
      <c r="G17" s="81"/>
    </row>
    <row r="18" customFormat="false" ht="14.25" hidden="false" customHeight="true" outlineLevel="0" collapsed="false">
      <c r="A18" s="78"/>
      <c r="B18" s="79" t="s">
        <v>39</v>
      </c>
      <c r="C18" s="75" t="n">
        <v>2</v>
      </c>
      <c r="D18" s="76" t="n">
        <v>2</v>
      </c>
      <c r="E18" s="77" t="n">
        <v>2</v>
      </c>
      <c r="F18" s="79" t="s">
        <v>32</v>
      </c>
      <c r="G18" s="81"/>
    </row>
    <row r="19" customFormat="false" ht="14.25" hidden="false" customHeight="true" outlineLevel="0" collapsed="false">
      <c r="A19" s="78"/>
      <c r="B19" s="79" t="s">
        <v>40</v>
      </c>
      <c r="C19" s="75" t="n">
        <v>1</v>
      </c>
      <c r="D19" s="76" t="n">
        <v>1</v>
      </c>
      <c r="E19" s="77" t="n">
        <v>1</v>
      </c>
      <c r="F19" s="79" t="s">
        <v>32</v>
      </c>
      <c r="G19" s="81"/>
    </row>
    <row r="20" customFormat="false" ht="14.25" hidden="false" customHeight="true" outlineLevel="0" collapsed="false">
      <c r="A20" s="78"/>
      <c r="B20" s="79" t="s">
        <v>41</v>
      </c>
      <c r="C20" s="75" t="n">
        <v>0</v>
      </c>
      <c r="D20" s="76" t="n">
        <v>0</v>
      </c>
      <c r="E20" s="77" t="n">
        <v>0</v>
      </c>
      <c r="F20" s="79" t="s">
        <v>32</v>
      </c>
      <c r="G20" s="81"/>
    </row>
    <row r="21" customFormat="false" ht="14.25" hidden="false" customHeight="true" outlineLevel="0" collapsed="false">
      <c r="A21" s="66"/>
      <c r="B21" s="66"/>
      <c r="C21" s="66"/>
      <c r="D21" s="66"/>
      <c r="E21" s="66"/>
      <c r="F21" s="66"/>
      <c r="G21" s="67"/>
    </row>
    <row r="22" customFormat="false" ht="14.25" hidden="false" customHeight="true" outlineLevel="0" collapsed="false">
      <c r="A22" s="66"/>
      <c r="B22" s="66"/>
      <c r="C22" s="66"/>
      <c r="D22" s="66"/>
      <c r="E22" s="66"/>
      <c r="F22" s="66"/>
      <c r="G22" s="67"/>
    </row>
    <row r="23" customFormat="false" ht="14.25" hidden="false" customHeight="true" outlineLevel="0" collapsed="false">
      <c r="A23" s="82" t="s">
        <v>81</v>
      </c>
      <c r="B23" s="83" t="s">
        <v>82</v>
      </c>
      <c r="C23" s="75" t="n">
        <f aca="false">C12-C15-SUM(C16:C20)</f>
        <v>-158.2256393</v>
      </c>
      <c r="D23" s="76" t="n">
        <f aca="false">C12-D15-SUM(D16:D20)</f>
        <v>-158.2256393</v>
      </c>
      <c r="E23" s="77" t="n">
        <f aca="false">C12-E15-SUM(E16:E20)</f>
        <v>-158.2256393</v>
      </c>
      <c r="F23" s="83" t="s">
        <v>32</v>
      </c>
      <c r="G23" s="84" t="s">
        <v>44</v>
      </c>
    </row>
    <row r="24" customFormat="false" ht="14.25" hidden="false" customHeight="true" outlineLevel="0" collapsed="false">
      <c r="A24" s="82"/>
      <c r="B24" s="83" t="s">
        <v>83</v>
      </c>
      <c r="C24" s="75" t="n">
        <v>0.2</v>
      </c>
      <c r="D24" s="76" t="n">
        <v>0.2</v>
      </c>
      <c r="E24" s="77" t="n">
        <v>0.2</v>
      </c>
      <c r="F24" s="83" t="s">
        <v>32</v>
      </c>
      <c r="G24" s="84"/>
    </row>
    <row r="25" customFormat="false" ht="14.25" hidden="false" customHeight="true" outlineLevel="0" collapsed="false">
      <c r="A25" s="82"/>
      <c r="B25" s="83" t="s">
        <v>84</v>
      </c>
      <c r="C25" s="75" t="n">
        <v>12</v>
      </c>
      <c r="D25" s="76" t="n">
        <v>12</v>
      </c>
      <c r="E25" s="77" t="n">
        <v>12</v>
      </c>
      <c r="F25" s="83" t="s">
        <v>32</v>
      </c>
      <c r="G25" s="84"/>
    </row>
    <row r="26" customFormat="false" ht="14.25" hidden="false" customHeight="true" outlineLevel="0" collapsed="false">
      <c r="A26" s="82"/>
      <c r="B26" s="83" t="s">
        <v>85</v>
      </c>
      <c r="C26" s="75" t="n">
        <v>2</v>
      </c>
      <c r="D26" s="76" t="n">
        <v>2</v>
      </c>
      <c r="E26" s="77" t="n">
        <v>2</v>
      </c>
      <c r="F26" s="83" t="s">
        <v>32</v>
      </c>
      <c r="G26" s="84"/>
    </row>
    <row r="27" customFormat="false" ht="27" hidden="false" customHeight="true" outlineLevel="0" collapsed="false">
      <c r="A27" s="82"/>
      <c r="B27" s="83" t="s">
        <v>86</v>
      </c>
      <c r="C27" s="75" t="n">
        <v>635</v>
      </c>
      <c r="D27" s="76" t="n">
        <v>635</v>
      </c>
      <c r="E27" s="77" t="n">
        <v>635</v>
      </c>
      <c r="F27" s="83" t="s">
        <v>58</v>
      </c>
      <c r="G27" s="84"/>
    </row>
    <row r="28" customFormat="false" ht="30" hidden="false" customHeight="true" outlineLevel="0" collapsed="false">
      <c r="A28" s="82"/>
      <c r="B28" s="83" t="s">
        <v>87</v>
      </c>
      <c r="C28" s="75" t="n">
        <f aca="false">C25-C24-C26-(10*LOG(C27))</f>
        <v>-18.2277372529198</v>
      </c>
      <c r="D28" s="76" t="n">
        <f aca="false">D25-D24-D26-(10*LOG(D27))</f>
        <v>-18.2277372529198</v>
      </c>
      <c r="E28" s="77" t="n">
        <f aca="false">E25-E24-E26-(10*LOG(E27))</f>
        <v>-18.2277372529198</v>
      </c>
      <c r="F28" s="83" t="s">
        <v>61</v>
      </c>
      <c r="G28" s="84" t="s">
        <v>88</v>
      </c>
    </row>
    <row r="29" customFormat="false" ht="28.5" hidden="false" customHeight="true" outlineLevel="0" collapsed="false">
      <c r="A29" s="82"/>
      <c r="B29" s="83" t="s">
        <v>63</v>
      </c>
      <c r="C29" s="75" t="n">
        <f aca="false">C23+C25-C24-C26</f>
        <v>-148.4256393</v>
      </c>
      <c r="D29" s="76" t="n">
        <f aca="false">D23+D25-D24-D26</f>
        <v>-148.4256393</v>
      </c>
      <c r="E29" s="77" t="n">
        <f aca="false">E23+E25-E24-E26</f>
        <v>-148.4256393</v>
      </c>
      <c r="F29" s="83" t="s">
        <v>25</v>
      </c>
      <c r="G29" s="84" t="s">
        <v>89</v>
      </c>
    </row>
    <row r="30" customFormat="false" ht="14.25" hidden="false" customHeight="true" outlineLevel="0" collapsed="false">
      <c r="A30" s="82"/>
      <c r="B30" s="83" t="s">
        <v>67</v>
      </c>
      <c r="C30" s="75" t="n">
        <v>-228.6</v>
      </c>
      <c r="D30" s="76" t="n">
        <v>-228.6</v>
      </c>
      <c r="E30" s="77" t="n">
        <v>-228.6</v>
      </c>
      <c r="F30" s="83" t="s">
        <v>68</v>
      </c>
      <c r="G30" s="84"/>
    </row>
    <row r="31" customFormat="false" ht="14.25" hidden="false" customHeight="true" outlineLevel="0" collapsed="false">
      <c r="A31" s="82"/>
      <c r="B31" s="83" t="s">
        <v>90</v>
      </c>
      <c r="C31" s="75" t="n">
        <v>2000</v>
      </c>
      <c r="D31" s="76" t="n">
        <v>500</v>
      </c>
      <c r="E31" s="77" t="n">
        <v>515</v>
      </c>
      <c r="F31" s="83" t="s">
        <v>66</v>
      </c>
      <c r="G31" s="84"/>
    </row>
    <row r="32" customFormat="false" ht="14.25" hidden="false" customHeight="true" outlineLevel="0" collapsed="false">
      <c r="A32" s="82"/>
      <c r="B32" s="83" t="s">
        <v>91</v>
      </c>
      <c r="C32" s="75" t="n">
        <f aca="false">C30+10*LOG10(C27)+10*LOG10(C31)</f>
        <v>-167.56196279044</v>
      </c>
      <c r="D32" s="76" t="n">
        <f aca="false">D30+10*LOG10(D27)+10*LOG10(D31)</f>
        <v>-173.58256270372</v>
      </c>
      <c r="E32" s="77" t="n">
        <f aca="false">E30+10*LOG10(E27)+10*LOG10(E31)</f>
        <v>-173.454190456668</v>
      </c>
      <c r="F32" s="83" t="s">
        <v>25</v>
      </c>
      <c r="G32" s="84" t="s">
        <v>92</v>
      </c>
    </row>
    <row r="33" customFormat="false" ht="14.25" hidden="false" customHeight="true" outlineLevel="0" collapsed="false">
      <c r="A33" s="82"/>
      <c r="B33" s="83" t="s">
        <v>93</v>
      </c>
      <c r="C33" s="75" t="n">
        <f aca="false">C29-C32</f>
        <v>19.1363234904404</v>
      </c>
      <c r="D33" s="76" t="n">
        <f aca="false">D29-D32</f>
        <v>25.15692340372</v>
      </c>
      <c r="E33" s="77" t="n">
        <f aca="false">E29-E32</f>
        <v>25.0285511566683</v>
      </c>
      <c r="F33" s="83" t="s">
        <v>32</v>
      </c>
      <c r="G33" s="84" t="s">
        <v>94</v>
      </c>
    </row>
    <row r="34" customFormat="false" ht="14.25" hidden="false" customHeight="true" outlineLevel="0" collapsed="false">
      <c r="A34" s="82"/>
      <c r="B34" s="83" t="s">
        <v>71</v>
      </c>
      <c r="C34" s="75" t="n">
        <v>12.8</v>
      </c>
      <c r="D34" s="76" t="n">
        <v>10</v>
      </c>
      <c r="E34" s="77" t="n">
        <v>10</v>
      </c>
      <c r="F34" s="83" t="s">
        <v>32</v>
      </c>
      <c r="G34" s="84"/>
    </row>
    <row r="35" customFormat="false" ht="14.25" hidden="false" customHeight="true" outlineLevel="0" collapsed="false">
      <c r="A35" s="66"/>
      <c r="B35" s="66"/>
      <c r="C35" s="66"/>
      <c r="D35" s="66"/>
      <c r="E35" s="66"/>
      <c r="F35" s="66"/>
      <c r="G35" s="67"/>
    </row>
    <row r="36" customFormat="false" ht="14.25" hidden="false" customHeight="true" outlineLevel="0" collapsed="false">
      <c r="A36" s="85"/>
      <c r="B36" s="85" t="s">
        <v>51</v>
      </c>
      <c r="C36" s="75" t="n">
        <f aca="false">C33-C34</f>
        <v>6.33632349044042</v>
      </c>
      <c r="D36" s="76" t="n">
        <f aca="false">D33-D34</f>
        <v>15.15692340372</v>
      </c>
      <c r="E36" s="77" t="n">
        <f aca="false">E33-E34</f>
        <v>15.0285511566683</v>
      </c>
      <c r="F36" s="85" t="s">
        <v>32</v>
      </c>
      <c r="G36" s="86"/>
    </row>
    <row r="37" customFormat="false" ht="14.25" hidden="false" customHeight="true" outlineLevel="0" collapsed="false">
      <c r="A37" s="87"/>
      <c r="B37" s="87"/>
      <c r="C37" s="87"/>
      <c r="D37" s="87"/>
      <c r="E37" s="87"/>
      <c r="F37" s="87"/>
      <c r="G37" s="88"/>
    </row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7">
    <mergeCell ref="A1:G1"/>
    <mergeCell ref="A2:G2"/>
    <mergeCell ref="A3:A8"/>
    <mergeCell ref="B7:B8"/>
    <mergeCell ref="A10:A12"/>
    <mergeCell ref="A15:A20"/>
    <mergeCell ref="A23:A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2026-07-12T13:26:33Z</dcterms:modified>
  <cp:revision>2</cp:revision>
  <dc:subject/>
  <dc:title/>
</cp:coreProperties>
</file>